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ntrado" sheetId="1" r:id="rId4"/>
    <sheet state="visible" name="info de localidad" sheetId="2" r:id="rId5"/>
    <sheet state="visible" name="Respuestas de seguimiento" sheetId="3" r:id="rId6"/>
  </sheets>
  <externalReferences>
    <externalReference r:id="rId7"/>
  </externalReferences>
  <definedNames>
    <definedName hidden="1" localSheetId="0" name="_xlnm._FilterDatabase">Concentrado!$A$1:$Y$11</definedName>
  </definedNames>
  <calcPr/>
  <extLst>
    <ext uri="GoogleSheetsCustomDataVersion2">
      <go:sheetsCustomData xmlns:go="http://customooxmlschemas.google.com/" r:id="rId8" roundtripDataChecksum="8KUIQJh8v90d6LTSwUHilnTOc4zn3visNjovnzr1LI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V3">
      <text>
        <t xml:space="preserve">Actualizado al 29 de enero de 2026. Se están contando a los dos turnos porque ambos usan el scall.
======</t>
      </text>
    </comment>
    <comment authorId="0" ref="V6">
      <text>
        <t xml:space="preserve">Actualizados al 29 de enero de 2026
======</t>
      </text>
    </comment>
    <comment authorId="0" ref="U1">
      <text>
        <t xml:space="preserve">======
ID#AAABx60-z7I
User    (2026-01-27 15:38:04)
se estiman 20lts/persona al día multiplicado por el número de usuarios de las escuelas.</t>
      </text>
    </comment>
    <comment authorId="0" ref="Q1">
      <text>
        <t xml:space="preserve">======
ID#AAABx60-z7E
User    (2026-01-27 15:38:04)
https://chirps-pye0.onrender.com/yearly_precipitation/
precipitación anual promedio obtenida de chirpps usando el año 2025</t>
      </text>
    </comment>
    <comment authorId="0" ref="R1">
      <text>
        <t xml:space="preserve">======
ID#AAABx60-z7A
User    (2026-01-27 15:38:04)
Chirps usando un rango de cálculo de 30 años</t>
      </text>
    </comment>
  </commentList>
  <extLst>
    <ext uri="GoogleSheetsCustomDataVersion2">
      <go:sheetsCustomData xmlns:go="http://customooxmlschemas.google.com/" r:id="rId1" roundtripDataSignature="AMtx7mhwMUUrV1sqpxz9B0x3VNRSF0Boxw=="/>
    </ext>
  </extLst>
</comments>
</file>

<file path=xl/sharedStrings.xml><?xml version="1.0" encoding="utf-8"?>
<sst xmlns="http://schemas.openxmlformats.org/spreadsheetml/2006/main" count="344" uniqueCount="196">
  <si>
    <t>CCT</t>
  </si>
  <si>
    <t>Seleccionadas para sistema de medidores</t>
  </si>
  <si>
    <t>ESCUELA</t>
  </si>
  <si>
    <t>DIRECCIÓN</t>
  </si>
  <si>
    <t>MUNICIPIO</t>
  </si>
  <si>
    <t>TURNO</t>
  </si>
  <si>
    <t>DIRECTOR/DIRECTORA</t>
  </si>
  <si>
    <t>CONTACTO</t>
  </si>
  <si>
    <t>NOMBRE DE LA CUENCA EN DONDE SE ENCUENTRA LA ESCUELA</t>
  </si>
  <si>
    <t>Costo del scall (pesos mexicanos)</t>
  </si>
  <si>
    <t>FECHA DE INSTALACIÓN</t>
  </si>
  <si>
    <t>NOTAS</t>
  </si>
  <si>
    <t>Latitud</t>
  </si>
  <si>
    <t>Longitud</t>
  </si>
  <si>
    <t>situación hídrica</t>
  </si>
  <si>
    <t>Área de captación</t>
  </si>
  <si>
    <t>precipitación anual promedio 2025 (mm)</t>
  </si>
  <si>
    <t>precipitación anual promedio últimos 30 años (mm)</t>
  </si>
  <si>
    <t>Tipo de techo</t>
  </si>
  <si>
    <t>Potencial de captación (estandar) Litros</t>
  </si>
  <si>
    <t>demanda hídrica diaria</t>
  </si>
  <si>
    <t>Estudiantes</t>
  </si>
  <si>
    <t>Personal docente y administrativo</t>
  </si>
  <si>
    <t>Número de usuarios</t>
  </si>
  <si>
    <t>Capacidad de almacenamiento del scall (litros)</t>
  </si>
  <si>
    <t>Fuentes de almacenamiento linea base</t>
  </si>
  <si>
    <t>15DJN1086L</t>
  </si>
  <si>
    <t>PREESCOLAR JARDIN DE NIÑOS XIPEHUATZIN</t>
  </si>
  <si>
    <t>CALLE DE LAS ROSAS; #SN; LOS BORDOS; CP.; ECATEPEC DE MORELOS; EDOMEX</t>
  </si>
  <si>
    <t>ECATEPEC</t>
  </si>
  <si>
    <t>MATUTINO</t>
  </si>
  <si>
    <t>ROCIO HERNANDEZ ESPINOZA</t>
  </si>
  <si>
    <t>no tiene</t>
  </si>
  <si>
    <t>Losa con Carpeta Asfáltica</t>
  </si>
  <si>
    <t>15DPR0454Z</t>
  </si>
  <si>
    <t>si</t>
  </si>
  <si>
    <t>PRIMARIA VICENTE GUERRERO</t>
  </si>
  <si>
    <t>FRANCISCO VILLA; #1; LA CANDELARIA TLAPALA; CP.56641; CHALCO; EDOMEX</t>
  </si>
  <si>
    <t>CHALCO</t>
  </si>
  <si>
    <t>DIRECTOR: ROMEL SHAHYAD ORDOÑEZ PALACIOS;
SUBDIRECTORA: Tania Itzel Guerrero Alcocer</t>
  </si>
  <si>
    <t>DIRECTOR: 55 3439 1867
SUBDIRECTORA: 55 7204 4489</t>
  </si>
  <si>
    <t>Cuenca de México</t>
  </si>
  <si>
    <t>Comunicarse con la subdirectora, ya que el director se encuentra de incapacidad.</t>
  </si>
  <si>
    <t>Arcotecho (lámina galvanizada)</t>
  </si>
  <si>
    <t>Red de agua potable / pipa</t>
  </si>
  <si>
    <t>15DPR0594Z</t>
  </si>
  <si>
    <t>PRIMARIA BENITO JUAREZ</t>
  </si>
  <si>
    <t>PLAZA JUAREZ; #128; SAN PEDRO XALOSTOC; CP.55310; ECATEPEC DE MORELOS; EDOMEX</t>
  </si>
  <si>
    <t>ARTURO CRUZ BAÑOS</t>
  </si>
  <si>
    <t>55 1838 9984</t>
  </si>
  <si>
    <t>Pipa / lluvia</t>
  </si>
  <si>
    <t>15DPR0633K</t>
  </si>
  <si>
    <t>PRIMARIA PROFR. RAFAEL RAMIREZ</t>
  </si>
  <si>
    <t>MANANTIAL; #1; LAZARO CARDENAS; CP.55629; ZUMPANGO; EDOMEX</t>
  </si>
  <si>
    <t>ZUMPANGO</t>
  </si>
  <si>
    <t>MARGARITO SUAREZ</t>
  </si>
  <si>
    <t>15DTV0170S</t>
  </si>
  <si>
    <t>TELESECUNDARIA IGNACIO ALLENDE</t>
  </si>
  <si>
    <t>PROL. HIDALGO; #S/N; SAN MATEO HUITZILZINGO; CP.56625; CHALCO; EDOMEX</t>
  </si>
  <si>
    <t>AMANDA GOMEZ MENDOZA</t>
  </si>
  <si>
    <t>Cuando no es temporada de lluvias, utilizan el sistema como almacenamiento, tienen la duda si esto afectará la medición que se pretende realizar.
De cualquier forma, están en total disposición para participar en el pilotaje.</t>
  </si>
  <si>
    <t>15EBH0466T</t>
  </si>
  <si>
    <t>PREPARATORIA OFICIAL NO 271</t>
  </si>
  <si>
    <t>AV SANTA RITA JOYOCAN; #12; AMECA; CP.56950; AMECAMECA; EDOMEX</t>
  </si>
  <si>
    <t>AMECAMECA</t>
  </si>
  <si>
    <t>DRA. ERIKA DOMÍNGUEZ CASTILLO</t>
  </si>
  <si>
    <t>55 4021 3554</t>
  </si>
  <si>
    <t>15EJN3378M</t>
  </si>
  <si>
    <t>PREESCOLAR RICARDO FLORES MAGON</t>
  </si>
  <si>
    <t>MARIA LUISA; #S/N; LOMAS DE SAN ISIDRO 1A SECCION; CP.56516; LA PAZ; EDOMEX</t>
  </si>
  <si>
    <t>LA PAZ</t>
  </si>
  <si>
    <t>GABRIELA MARTÍNEZ TÉLLEZ</t>
  </si>
  <si>
    <t>55 3360 6402</t>
  </si>
  <si>
    <t>Ingresaron al proyecto federal "La escuela es nuestra", a través del cual les cambiaron la techumbre, por lo que fue necesario que momentáneamente retiraran las canaletas y tuberías. Estas maniobras se realizaron después de la temporada de lluvias para no afectar el funcionamiento del sistema, por lo que muy pronto colocarán nuevamente las canaletas y tuberías y que el sistema esté listo para la nueva temporada de lluvias.</t>
  </si>
  <si>
    <t>15EPR0688M</t>
  </si>
  <si>
    <t>PRIMARIA EMILIANO ZAPATA</t>
  </si>
  <si>
    <t>JUAN ESCUTIA; #1; LA CONSTITUCIÓN TOLTEPEC; CP.50236; TOLUCA; EDOMEX</t>
  </si>
  <si>
    <t>TOLUCA</t>
  </si>
  <si>
    <t>ALICIA ALBINO COLIN</t>
  </si>
  <si>
    <t>15EPR1757Z</t>
  </si>
  <si>
    <t>PRIMARIA MANUEL BERNAL</t>
  </si>
  <si>
    <t>SIRENA; #S/N; ENSUEÑOS ; CP.54740; CUATITLAN IZCALI; EDOMEX</t>
  </si>
  <si>
    <t>CUAUTITLÁN</t>
  </si>
  <si>
    <t>ERIKA MARGARITA GUTIERREZ HERNANDEZ</t>
  </si>
  <si>
    <t>15ETV0293A</t>
  </si>
  <si>
    <t>SECUNDARIA OFTV NO. 0194 GRAL EMILIANO ZAPATA</t>
  </si>
  <si>
    <t>CALLE ARQUITECTO JUAN MANUEL CASTRO; SN; SANTO TOMAS ATZINGO; 56730; TLALMANALCO; EDOMEX</t>
  </si>
  <si>
    <t>TLALMANALCO</t>
  </si>
  <si>
    <t>ARMANDO CATALAN</t>
  </si>
  <si>
    <t>Red de agua potable</t>
  </si>
  <si>
    <t>Información de las localidades</t>
  </si>
  <si>
    <t>ÍNDICE DE REZAGO SOCIAL</t>
  </si>
  <si>
    <t>Id</t>
  </si>
  <si>
    <t>Municipio</t>
  </si>
  <si>
    <t>Localidad</t>
  </si>
  <si>
    <t xml:space="preserve">Viviendas con agua </t>
  </si>
  <si>
    <t>Viviendas sin agua</t>
  </si>
  <si>
    <t>Porcentaje de vivienda sin agua</t>
  </si>
  <si>
    <t>Población</t>
  </si>
  <si>
    <t>Viviendas particulaes habitadas</t>
  </si>
  <si>
    <t>Población total</t>
  </si>
  <si>
    <t>Población de 15 años o más analfabeta</t>
  </si>
  <si>
    <t>Población de 6 a 14 años que no asiste a la escuela</t>
  </si>
  <si>
    <t>Población de 15 años y más con educación básica incompleta</t>
  </si>
  <si>
    <t>Población sin derechohabiencia a servicios de salud</t>
  </si>
  <si>
    <t>Viviendas con piso de tierra</t>
  </si>
  <si>
    <t>Viviendas que no disponen de excusado o sanitario</t>
  </si>
  <si>
    <t>Viviendas que no disponen de agua entubada de la red pública</t>
  </si>
  <si>
    <t>Viviendas que no disponen de drenaje</t>
  </si>
  <si>
    <t>Viviendas que no disponen de energía eléctrica</t>
  </si>
  <si>
    <t>Viviendas que no disponen de lavadora</t>
  </si>
  <si>
    <t>Viviendas que no disponen de refrigerador</t>
  </si>
  <si>
    <t>Índice de rezago social</t>
  </si>
  <si>
    <t>Grado de rezago social</t>
  </si>
  <si>
    <t>Lugar que ocupa en el contexto nacional</t>
  </si>
  <si>
    <t>Chalco</t>
  </si>
  <si>
    <t>La Candelaria Tlapala</t>
  </si>
  <si>
    <t>Bajo</t>
  </si>
  <si>
    <t>San Mateo Huitzilzingo</t>
  </si>
  <si>
    <t>Amecameca</t>
  </si>
  <si>
    <t>San Antonio Zoyatzingo</t>
  </si>
  <si>
    <t>Muy bajo</t>
  </si>
  <si>
    <t>La Paz</t>
  </si>
  <si>
    <t>San Isidro</t>
  </si>
  <si>
    <t>Tlalmanalco</t>
  </si>
  <si>
    <t>Santo Tomás Atzingo</t>
  </si>
  <si>
    <t>Fecha de la visita de seguimiento</t>
  </si>
  <si>
    <t>CCT escuela</t>
  </si>
  <si>
    <t>29/01/2026</t>
  </si>
  <si>
    <t>13/02/2026</t>
  </si>
  <si>
    <t>19/02/2026</t>
  </si>
  <si>
    <t>1.- En el último mes (o semana/quincena si hubo un periodo de vacaciones), aproximadamente cuántos litros de agua del SCALL se usaron?</t>
  </si>
  <si>
    <t>Se visitó en temporada de secas, no se estaba usando el scall.</t>
  </si>
  <si>
    <t>2.- Cuando se usa el SCALL, qué porcentaje del consumo total de agua representa? (opciones: 0–25% / 25–50% / 50–75% / más de 75% / no sabe)</t>
  </si>
  <si>
    <t>0 - 25%</t>
  </si>
  <si>
    <t>25 - 50%</t>
  </si>
  <si>
    <t>50% - 75%</t>
  </si>
  <si>
    <t>Más de 75%</t>
  </si>
  <si>
    <t>No sabe</t>
  </si>
  <si>
    <t>3.- Si no existiera el SCALL, esa agua se obtendría principalmente de qué fuente? (opciones: red / pipa / garrafón / manantial u otra fuente / no se obtendría y se reduciría el uso)</t>
  </si>
  <si>
    <t>Red</t>
  </si>
  <si>
    <t>Pipa</t>
  </si>
  <si>
    <t>Garrafón</t>
  </si>
  <si>
    <t>Manantial, etc.</t>
  </si>
  <si>
    <t>otra fuente</t>
  </si>
  <si>
    <t>no se obtendría y se reduciría el uso</t>
  </si>
  <si>
    <t>4.- Cuando llueve, el tanque del SCALL se llena completamente? (opciones: siempre / a veces / nunca / no sabe)</t>
  </si>
  <si>
    <t>siempre</t>
  </si>
  <si>
    <t>a veces</t>
  </si>
  <si>
    <t>nunca</t>
  </si>
  <si>
    <t>no saben</t>
  </si>
  <si>
    <t>5. El SCALL derrama agua por falta de capacidad de almacenamiento?  (opciones: sí, frecuentemente / sí, ocasionalmente / no / no sabe)</t>
  </si>
  <si>
    <t>si, frecuentemente</t>
  </si>
  <si>
    <t>si, ocasionalmente</t>
  </si>
  <si>
    <t>no</t>
  </si>
  <si>
    <t>no sabe</t>
  </si>
  <si>
    <t>6.- ¿Hay periodos del año en los que el SCALL no se usa aunque llueva? (opciones: no / sí, por fallas técnicas / sí, por desconfianza en la calidad / sí, por baja demanda / otro motivo)</t>
  </si>
  <si>
    <t>si, por fallas técnicas</t>
  </si>
  <si>
    <t>si, por desconfianza</t>
  </si>
  <si>
    <t>si, por baja demanda (vacaciones)</t>
  </si>
  <si>
    <t>otro motivo</t>
  </si>
  <si>
    <t>7.- ¿ En qué meses del año se UTILIZA más agua del SCALL? (opciones: marcar meses / uso similar todo el año)</t>
  </si>
  <si>
    <t>8.- ¿En qué meses del año se DEPENDE más de la red, pipa u otra fuente distinta al SCALL? (opciones: marcar meses o elegir: temporada de lluvias / temporada seca / similar todo el año)</t>
  </si>
  <si>
    <t>scall</t>
  </si>
  <si>
    <t>enero</t>
  </si>
  <si>
    <t>febrero</t>
  </si>
  <si>
    <t>marzo</t>
  </si>
  <si>
    <t>abril</t>
  </si>
  <si>
    <t>mayo</t>
  </si>
  <si>
    <t>junio</t>
  </si>
  <si>
    <t>julio</t>
  </si>
  <si>
    <t>agosto</t>
  </si>
  <si>
    <t>septiembre</t>
  </si>
  <si>
    <t>octubre</t>
  </si>
  <si>
    <t>noviembre</t>
  </si>
  <si>
    <t>diciembre</t>
  </si>
  <si>
    <t>Nota: el sistema logra abastecer la mitad de la demanda hídrica de la escuela durante temporada de lluvias (es porque se acaba rápido el almacenamiento de los 5000 litros y sólo bombean el agua a una parte de la escuela, a unos solos baños.</t>
  </si>
  <si>
    <t>Durante lluvias intensas, el SCALL ayuda a evitar goteras, encharcamientos o escurrimientos fuertes en el techo o patios. (opciones: sí, claramente / sí, en parte / no se nota diferencia / no sabe)</t>
  </si>
  <si>
    <t>si, claramente</t>
  </si>
  <si>
    <t>si, en parte</t>
  </si>
  <si>
    <t>no se nota la diferencia</t>
  </si>
  <si>
    <t>En eventos de lluvia muy fuerte, el SCALL reduce el agua que corre por el suelo y provoca erosión o socavones alrededor del edificio. (opciones: sí, reduce mucho / sí, reduce un poco / no / no sabe)</t>
  </si>
  <si>
    <t>si, reduce mucho</t>
  </si>
  <si>
    <t>si, reduce un poco</t>
  </si>
  <si>
    <t>En techos cercanos que no tienen SCALL, se han observado más problemas durante lluvias fuertes (goteras, escurrimientos, encharcamientos). (opciones: sí / no / no hay techos comparables cerca / no sabe)</t>
  </si>
  <si>
    <t>no hay techos comparables cerca</t>
  </si>
  <si>
    <t>La escuela o espacio comunitario ha compartido con vecinos u otras personas de la comunidad su experiencia y/o beneficios del SCALL. (opciones: sí, con otras escuelas / sí, con vecinos o familias / sí, con autoridades u organizaciones / no / no sabe)</t>
  </si>
  <si>
    <t>si, con otras escuelas</t>
  </si>
  <si>
    <t>si, con vecinos o familias</t>
  </si>
  <si>
    <t>si, con autoridades u organizaciones</t>
  </si>
  <si>
    <t>Notas generales de la escuela</t>
  </si>
  <si>
    <t>La escuela cuenta con dos turnos y comparten la mayoría de infraestrucutura hídrica. Sin embargo, el turno matutino, (que es el que gestionó el scall) , cuenta con una cisterna de 5k a 10k litros conectada al agua de la red que es para su uso exclusivo y se usa para los baños principales.
Tienen problemas con el suministro de luz, llega a tener una variación importante del voltaje, se necesitará una batería de respaldo y un no break para protjer al sistema de dichas variaciones.
La visita de seguimiento la atendió el profesor Gilberto Pérez, miembro del comité de agua de la escuela. El profesor está interesado en continuar con el tema de una gestión adecuada del agua en la escuela y está buscando recursos para el reciclaje de aguas grises de la escuela y la implementación de un programa de bebederos.
Tienen mala señal de internet, les robaron la fibra óptica hace un par de meses y hasta ahora no han podido restablecer el internet.
Cuentan con buena calidad de agua de red según ODAPAS (Organismo Público Descentralizado para la Prestación de los Servicios de Agua Potable, Alcantarillado y Saneamiento). Lo saben porque en el último año, personas pertenecientes a la fuerza laboral de dicha institución, fueron a medir la calidad del agua y compartieron los resultados con la escuela.
El director Romel meniconó que trabaja o está involucrado de distintas maneras en otras esceulas de la zona y que ha gestionado la instalación de varios sistemas de captación de agua de lluvia, incluyendo el de la escuela. Él también fue la persona que gestionó la obtención del tanque de 10k litros que se conectó al scall. El día de la instalación se le pidió a los instaladores que conectaran ese tanque además del que ya incluía el programa de EDL (esceulas de lluvia). El sistema cuenta con 15k litros de almacenamiento y además mandan el agua a una cisterna de 30k litros.
En lluvias se cierra la llave del agua de la red y se empieza a usar el agua del scall.
Desde que se instaló el scall, no se han tenido que solicitar pipas.</t>
  </si>
  <si>
    <t>Debido a que no cuentan con intendente, le dan mantenimiento al scall a través de la organización de 5 faenas de padres de familia y maestros a lo largo del año, en donde se procuran los cuidados a los diferentes componenentes del sistema.
En lluvias se cierra la llave del agua de la red y se empieza a usar el agua del scall. Se usa para sanitarios y limpieza en general.
Atendió la visita la directora Amanda. La escuela cuenta con un único turno.
La directora lleva 6 años en el cargo y es la que ha bajado varios recursos a la escuela, ha conseguido varios almacenamientos adicionales a los que contaban y eso ha permitido que sean más recilientes ante los cortes inesperados de agua.
Desde que tienen el scall han dejado de pedir pipas; antes solicitiban 4 en temporada de secas.
Antes del scall, las canchas que cubre el arcotehco del que ahora está conectado el sistema, se encharcaban. Desde que se instaló el scall, esos encharcamientos se han detenido.
Buen suministro de energía eléctrica, mal intenet.</t>
  </si>
  <si>
    <t>Ya no están pidiendo pipas en temporada de lluvias. Antes del scall tenían una fuerte dependencia hacia ellas ya que el agua de red les es abastecida una vez al mes.
Mencionan que el lamacenamiento que tienen en el scall no es suficiente y que se llena muy rápidamente. Afortunadamente cuentan con una cisterna muy grande, de aproximadamente 50mil litros que van llenando con el agua que captan del sistema y el año pasado en una ocasión llegaron allenarla con el agua de lluvia que obtenían del scall.
Al ser una prepa, mencionan que las madres y padres de familia no se involucran tanto en las actividades de la escuela por lo que, es el personal de intendencia y docencia las personas que se encargan del uso y mantenimeinto del sistema.
Gracias a una gestión que tuvieron el año pasado, cuentan con buen suminstro de energía eléctica. Sin embargo, aunque si cuentan con internet, no es muy bueno. La red celular funciona bien.
Lavisita fue atendida por la directora Erika y la maestra encargada del sistema y miembro del comité Marisol</t>
  </si>
  <si>
    <t>La escuela cuenta con un programa de educación ambiental, este año pondrán un jardín polinizador. El sistema ha sido usado como fuente de educación ambiental también.
El comité de agua no se encarga del uso y mantenimiento del sistema, es en realidad el director y su auxiliar administrativa de la escuela: Claudia. Sólo cuando se va alimpiar el tanque de almacenamiento, solicitan ayuda de las madres y padres de familia.
La visita fue atnedida por el director Armando.</t>
  </si>
  <si>
    <t>Si les ayuda mucho el sistema, la diferencia entre vt y seguimiento es que se contó la infraestructura de toda la escuela, pero al menos actualmente cada turno tiene su propia infraestructura por lo que se incluyo solo la infraestructura del turno de la mañana. tambien, en vt se oncluyo el agua d red como fuente de almacenamiento. sin embargo, menciono felix el intendente que llevan alos sin agua de la red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</si>
</sst>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7">
    <font>
      <sz val="11.0"/>
      <color theme="1"/>
      <name val="Aptos Narrow"/>
      <scheme val="minor"/>
    </font>
    <font>
      <color theme="1"/>
      <name val="Aptos Narrow"/>
      <scheme val="minor"/>
    </font>
    <font>
      <color theme="1"/>
      <name val="Arial"/>
    </font>
    <font>
      <sz val="11.0"/>
      <color theme="1"/>
      <name val="Aptos Narrow"/>
    </font>
    <font>
      <b/>
      <color theme="1"/>
      <name val="Arial"/>
    </font>
    <font/>
    <font>
      <b/>
      <color theme="1"/>
      <name val="Aptos Narrow"/>
      <scheme val="minor"/>
    </font>
  </fonts>
  <fills count="3">
    <fill>
      <patternFill patternType="none"/>
    </fill>
    <fill>
      <patternFill patternType="lightGray"/>
    </fill>
    <fill>
      <patternFill patternType="solid">
        <fgColor rgb="FF9900FF"/>
        <bgColor rgb="FF9900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2" fontId="2" numFmtId="0" xfId="0" applyAlignment="1" applyFill="1" applyFont="1">
      <alignment readingOrder="0"/>
    </xf>
    <xf borderId="0" fillId="0" fontId="3" numFmtId="14" xfId="0" applyFont="1" applyNumberFormat="1"/>
    <xf borderId="0" fillId="0" fontId="2" numFmtId="3" xfId="0" applyAlignment="1" applyFont="1" applyNumberFormat="1">
      <alignment readingOrder="0"/>
    </xf>
    <xf borderId="1" fillId="0" fontId="1" numFmtId="0" xfId="0" applyAlignment="1" applyBorder="1" applyFont="1">
      <alignment readingOrder="0"/>
    </xf>
    <xf borderId="2" fillId="0" fontId="4" numFmtId="0" xfId="0" applyAlignment="1" applyBorder="1" applyFont="1">
      <alignment readingOrder="0"/>
    </xf>
    <xf borderId="3" fillId="0" fontId="5" numFmtId="0" xfId="0" applyBorder="1" applyFont="1"/>
    <xf borderId="4" fillId="0" fontId="5" numFmtId="0" xfId="0" applyBorder="1" applyFont="1"/>
    <xf borderId="1" fillId="0" fontId="6" numFmtId="0" xfId="0" applyAlignment="1" applyBorder="1" applyFont="1">
      <alignment readingOrder="0" shrinkToFit="0" wrapText="1"/>
    </xf>
    <xf borderId="1" fillId="0" fontId="4" numFmtId="0" xfId="0" applyAlignment="1" applyBorder="1" applyFont="1">
      <alignment readingOrder="0" shrinkToFit="0" wrapText="1"/>
    </xf>
    <xf borderId="0" fillId="0" fontId="2" numFmtId="164" xfId="0" applyAlignment="1" applyFont="1" applyNumberFormat="1">
      <alignment horizontal="left" readingOrder="0"/>
    </xf>
    <xf borderId="0" fillId="0" fontId="1" numFmtId="0" xfId="0" applyAlignment="1" applyFont="1">
      <alignment readingOrder="0"/>
    </xf>
    <xf borderId="0" fillId="0" fontId="2" numFmtId="0" xfId="0" applyAlignment="1" applyFont="1">
      <alignment readingOrder="0" vertical="top"/>
    </xf>
    <xf borderId="0" fillId="0" fontId="2" numFmtId="0" xfId="0" applyAlignment="1" applyFont="1">
      <alignment readingOrder="0" shrinkToFit="0" vertical="top"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BD_EDL%20(8).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FIG"/>
      <sheetName val="BD_EDL"/>
      <sheetName val="REGISTRO DE ESCUELAS"/>
      <sheetName val="VT"/>
      <sheetName val="INST"/>
      <sheetName val="TALLERES"/>
      <sheetName val="ACOMPA INTER"/>
      <sheetName val="REPORTE"/>
      <sheetName val="CALCULADORA"/>
      <sheetName val="BD_EDL (8)"/>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75"/>
    <col customWidth="1" min="2" max="2" width="10.63"/>
    <col customWidth="1" min="3" max="3" width="48.5"/>
    <col customWidth="1" min="4" max="8" width="10.63"/>
    <col customWidth="1" min="9" max="9" width="13.75"/>
    <col customWidth="1" min="10" max="27" width="10.63"/>
  </cols>
  <sheetData>
    <row r="1">
      <c r="A1" s="1" t="s">
        <v>0</v>
      </c>
      <c r="B1" s="2" t="s">
        <v>1</v>
      </c>
      <c r="C1" s="1" t="s">
        <v>2</v>
      </c>
      <c r="D1" s="1" t="s">
        <v>3</v>
      </c>
      <c r="E1" s="1" t="s">
        <v>4</v>
      </c>
      <c r="F1" s="1" t="s">
        <v>5</v>
      </c>
      <c r="G1" s="1" t="s">
        <v>6</v>
      </c>
      <c r="H1" s="1" t="s">
        <v>7</v>
      </c>
      <c r="I1" s="3"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idden="1">
      <c r="A2" s="1" t="s">
        <v>26</v>
      </c>
      <c r="C2" s="1" t="s">
        <v>27</v>
      </c>
      <c r="D2" s="1" t="s">
        <v>28</v>
      </c>
      <c r="E2" s="1" t="s">
        <v>29</v>
      </c>
      <c r="F2" s="1" t="s">
        <v>30</v>
      </c>
      <c r="G2" s="1" t="s">
        <v>31</v>
      </c>
      <c r="H2" s="1">
        <v>5.521291563E9</v>
      </c>
      <c r="J2" s="1">
        <v>191.0</v>
      </c>
      <c r="K2" s="4">
        <v>45413.0</v>
      </c>
      <c r="M2" s="1">
        <v>19.5638981</v>
      </c>
      <c r="N2" s="1">
        <v>-99.0841374</v>
      </c>
      <c r="O2" s="1" t="s">
        <v>32</v>
      </c>
      <c r="P2" s="1">
        <v>249.0</v>
      </c>
      <c r="Q2" s="1" t="str">
        <f>_xlfn.XLOOKUP(A2,[1]!Tabla1[CCT],[1]!Tabla1[PRECIPITACION ANUAL])</f>
        <v>#ERROR!</v>
      </c>
      <c r="S2" s="1" t="s">
        <v>33</v>
      </c>
      <c r="T2" s="1">
        <v>132704.55</v>
      </c>
      <c r="V2" s="1">
        <v>191.0</v>
      </c>
      <c r="W2" s="1">
        <v>8.0</v>
      </c>
      <c r="X2" s="1">
        <f t="shared" ref="X2:X11" si="1">SUM(V2:W2)</f>
        <v>199</v>
      </c>
    </row>
    <row r="3">
      <c r="A3" s="1" t="s">
        <v>34</v>
      </c>
      <c r="B3" s="1" t="s">
        <v>35</v>
      </c>
      <c r="C3" s="1" t="s">
        <v>36</v>
      </c>
      <c r="D3" s="1" t="s">
        <v>37</v>
      </c>
      <c r="E3" s="1" t="s">
        <v>38</v>
      </c>
      <c r="F3" s="1" t="s">
        <v>30</v>
      </c>
      <c r="G3" s="1" t="s">
        <v>39</v>
      </c>
      <c r="H3" s="1" t="s">
        <v>40</v>
      </c>
      <c r="I3" s="5" t="s">
        <v>41</v>
      </c>
      <c r="J3" s="5">
        <v>170000.0</v>
      </c>
      <c r="K3" s="4">
        <v>45416.0</v>
      </c>
      <c r="L3" s="1" t="s">
        <v>42</v>
      </c>
      <c r="M3" s="1">
        <v>19.2419106370383</v>
      </c>
      <c r="N3" s="1">
        <v>-98.84586458581072</v>
      </c>
      <c r="O3" s="1" t="s">
        <v>32</v>
      </c>
      <c r="P3" s="1">
        <v>315.0</v>
      </c>
      <c r="Q3" s="1">
        <v>810.0</v>
      </c>
      <c r="R3" s="1">
        <v>594.88</v>
      </c>
      <c r="S3" s="1" t="s">
        <v>43</v>
      </c>
      <c r="U3" s="1">
        <f>20*X3</f>
        <v>12860</v>
      </c>
      <c r="V3" s="2">
        <v>619.0</v>
      </c>
      <c r="W3" s="2">
        <v>24.0</v>
      </c>
      <c r="X3" s="1">
        <f t="shared" si="1"/>
        <v>643</v>
      </c>
      <c r="Y3" s="1">
        <v>5000.0</v>
      </c>
      <c r="Z3" s="1" t="s">
        <v>44</v>
      </c>
    </row>
    <row r="4">
      <c r="A4" s="1" t="s">
        <v>45</v>
      </c>
      <c r="B4" s="2" t="s">
        <v>35</v>
      </c>
      <c r="C4" s="1" t="s">
        <v>46</v>
      </c>
      <c r="D4" s="1" t="s">
        <v>47</v>
      </c>
      <c r="E4" s="1" t="s">
        <v>29</v>
      </c>
      <c r="F4" s="1" t="s">
        <v>30</v>
      </c>
      <c r="G4" s="1" t="s">
        <v>48</v>
      </c>
      <c r="H4" s="1" t="s">
        <v>49</v>
      </c>
      <c r="J4" s="5">
        <v>170000.0</v>
      </c>
      <c r="K4" s="4">
        <v>45426.0</v>
      </c>
      <c r="M4" s="1">
        <v>19.5389967</v>
      </c>
      <c r="N4" s="1">
        <v>-99.076696</v>
      </c>
      <c r="O4" s="1" t="s">
        <v>32</v>
      </c>
      <c r="P4" s="1">
        <v>300.0</v>
      </c>
      <c r="Q4" s="1" t="str">
        <f>_xlfn.XLOOKUP(A4,[1]!Tabla1[CCT],[1]!Tabla1[PRECIPITACION ANUAL])</f>
        <v>#ERROR!</v>
      </c>
      <c r="S4" s="1" t="s">
        <v>33</v>
      </c>
      <c r="T4" s="1">
        <v>159885.0</v>
      </c>
      <c r="V4" s="2">
        <v>586.0</v>
      </c>
      <c r="W4" s="2">
        <v>25.0</v>
      </c>
      <c r="X4" s="1">
        <f t="shared" si="1"/>
        <v>611</v>
      </c>
      <c r="Y4" s="2">
        <v>5000.0</v>
      </c>
      <c r="Z4" s="2" t="s">
        <v>50</v>
      </c>
    </row>
    <row r="5" hidden="1">
      <c r="A5" s="1" t="s">
        <v>51</v>
      </c>
      <c r="C5" s="1" t="s">
        <v>52</v>
      </c>
      <c r="D5" s="1" t="s">
        <v>53</v>
      </c>
      <c r="E5" s="1" t="s">
        <v>54</v>
      </c>
      <c r="F5" s="1" t="s">
        <v>30</v>
      </c>
      <c r="G5" s="1" t="s">
        <v>55</v>
      </c>
      <c r="H5" s="1">
        <v>5.516994185E9</v>
      </c>
      <c r="J5" s="1">
        <v>361.0</v>
      </c>
      <c r="K5" s="4">
        <v>45420.0</v>
      </c>
      <c r="M5" s="1">
        <v>19.82460252816603</v>
      </c>
      <c r="N5" s="1">
        <v>-99.13628679834898</v>
      </c>
      <c r="O5" s="1" t="s">
        <v>32</v>
      </c>
      <c r="P5" s="1">
        <v>285.0</v>
      </c>
      <c r="Q5" s="1" t="str">
        <f>_xlfn.XLOOKUP(A5,[1]!Tabla1[CCT],[1]!Tabla1[PRECIPITACION ANUAL])</f>
        <v>#ERROR!</v>
      </c>
      <c r="S5" s="1" t="s">
        <v>33</v>
      </c>
      <c r="T5" s="1">
        <v>140989.5</v>
      </c>
      <c r="V5" s="1">
        <v>361.0</v>
      </c>
      <c r="W5" s="1">
        <v>15.0</v>
      </c>
      <c r="X5" s="1">
        <f t="shared" si="1"/>
        <v>376</v>
      </c>
    </row>
    <row r="6">
      <c r="A6" s="1" t="s">
        <v>56</v>
      </c>
      <c r="B6" s="1" t="s">
        <v>35</v>
      </c>
      <c r="C6" s="1" t="s">
        <v>57</v>
      </c>
      <c r="D6" s="1" t="s">
        <v>58</v>
      </c>
      <c r="E6" s="1" t="s">
        <v>38</v>
      </c>
      <c r="F6" s="1" t="s">
        <v>30</v>
      </c>
      <c r="G6" s="1" t="s">
        <v>59</v>
      </c>
      <c r="H6" s="1">
        <v>5.561245563E9</v>
      </c>
      <c r="I6" s="5" t="s">
        <v>41</v>
      </c>
      <c r="J6" s="5">
        <v>170000.0</v>
      </c>
      <c r="K6" s="4">
        <v>45465.0</v>
      </c>
      <c r="L6" s="1" t="s">
        <v>60</v>
      </c>
      <c r="M6" s="1">
        <v>19.227781</v>
      </c>
      <c r="N6" s="1">
        <v>-98.919766</v>
      </c>
      <c r="O6" s="1" t="s">
        <v>32</v>
      </c>
      <c r="P6" s="1">
        <v>260.0</v>
      </c>
      <c r="Q6" s="1">
        <v>1056.97</v>
      </c>
      <c r="R6" s="1">
        <v>759.1</v>
      </c>
      <c r="S6" s="1" t="s">
        <v>33</v>
      </c>
      <c r="U6" s="1">
        <f t="shared" ref="U6:U8" si="2">20*X6</f>
        <v>3960</v>
      </c>
      <c r="V6" s="2">
        <v>187.0</v>
      </c>
      <c r="W6" s="2">
        <v>11.0</v>
      </c>
      <c r="X6" s="1">
        <f t="shared" si="1"/>
        <v>198</v>
      </c>
      <c r="Y6" s="1">
        <v>5000.0</v>
      </c>
      <c r="Z6" s="1" t="s">
        <v>44</v>
      </c>
    </row>
    <row r="7">
      <c r="A7" s="1" t="s">
        <v>61</v>
      </c>
      <c r="B7" s="1" t="s">
        <v>35</v>
      </c>
      <c r="C7" s="1" t="s">
        <v>62</v>
      </c>
      <c r="D7" s="1" t="s">
        <v>63</v>
      </c>
      <c r="E7" s="1" t="s">
        <v>64</v>
      </c>
      <c r="F7" s="1" t="s">
        <v>30</v>
      </c>
      <c r="G7" s="1" t="s">
        <v>65</v>
      </c>
      <c r="H7" s="1" t="s">
        <v>66</v>
      </c>
      <c r="I7" s="5" t="s">
        <v>41</v>
      </c>
      <c r="J7" s="5">
        <v>170000.0</v>
      </c>
      <c r="K7" s="4">
        <v>45466.0</v>
      </c>
      <c r="M7" s="1">
        <v>19.08332</v>
      </c>
      <c r="N7" s="1">
        <v>-98.78436</v>
      </c>
      <c r="O7" s="1" t="s">
        <v>32</v>
      </c>
      <c r="P7" s="1">
        <v>320.0</v>
      </c>
      <c r="Q7" s="1">
        <v>1201.04</v>
      </c>
      <c r="R7" s="1">
        <v>843.16</v>
      </c>
      <c r="S7" s="1" t="s">
        <v>43</v>
      </c>
      <c r="U7" s="1">
        <f t="shared" si="2"/>
        <v>8340</v>
      </c>
      <c r="V7" s="1">
        <v>368.0</v>
      </c>
      <c r="W7" s="1">
        <v>49.0</v>
      </c>
      <c r="X7" s="1">
        <f t="shared" si="1"/>
        <v>417</v>
      </c>
      <c r="Y7" s="1">
        <v>5000.0</v>
      </c>
      <c r="Z7" s="1" t="s">
        <v>44</v>
      </c>
    </row>
    <row r="8">
      <c r="A8" s="1" t="s">
        <v>67</v>
      </c>
      <c r="B8" s="1" t="s">
        <v>35</v>
      </c>
      <c r="C8" s="1" t="s">
        <v>68</v>
      </c>
      <c r="D8" s="1" t="s">
        <v>69</v>
      </c>
      <c r="E8" s="1" t="s">
        <v>70</v>
      </c>
      <c r="F8" s="1" t="s">
        <v>30</v>
      </c>
      <c r="G8" s="1" t="s">
        <v>71</v>
      </c>
      <c r="H8" s="1" t="s">
        <v>72</v>
      </c>
      <c r="I8" s="5" t="s">
        <v>41</v>
      </c>
      <c r="J8" s="5">
        <v>170000.0</v>
      </c>
      <c r="K8" s="4">
        <v>45432.0</v>
      </c>
      <c r="L8" s="2" t="s">
        <v>73</v>
      </c>
      <c r="M8" s="1">
        <v>19.3454502</v>
      </c>
      <c r="N8" s="1">
        <v>-98.9425499</v>
      </c>
      <c r="O8" s="1" t="s">
        <v>32</v>
      </c>
      <c r="P8" s="1">
        <v>144.0</v>
      </c>
      <c r="Q8" s="1">
        <v>852.33</v>
      </c>
      <c r="R8" s="1">
        <v>626.62</v>
      </c>
      <c r="S8" s="1" t="s">
        <v>33</v>
      </c>
      <c r="U8" s="1">
        <f t="shared" si="2"/>
        <v>4120</v>
      </c>
      <c r="V8" s="2">
        <v>190.0</v>
      </c>
      <c r="W8" s="2">
        <v>16.0</v>
      </c>
      <c r="X8" s="1">
        <f t="shared" si="1"/>
        <v>206</v>
      </c>
      <c r="Y8" s="1">
        <v>5000.0</v>
      </c>
      <c r="Z8" s="1" t="s">
        <v>44</v>
      </c>
    </row>
    <row r="9" hidden="1">
      <c r="A9" s="1" t="s">
        <v>74</v>
      </c>
      <c r="C9" s="1" t="s">
        <v>75</v>
      </c>
      <c r="D9" s="1" t="s">
        <v>76</v>
      </c>
      <c r="E9" s="1" t="s">
        <v>77</v>
      </c>
      <c r="F9" s="1" t="s">
        <v>30</v>
      </c>
      <c r="G9" s="1" t="s">
        <v>78</v>
      </c>
      <c r="H9" s="1">
        <v>7.225852609E9</v>
      </c>
      <c r="J9" s="1">
        <v>646.0</v>
      </c>
      <c r="K9" s="4">
        <v>45416.0</v>
      </c>
      <c r="M9" s="1">
        <v>19.34847018384905</v>
      </c>
      <c r="N9" s="1">
        <v>-99.54976209897472</v>
      </c>
      <c r="O9" s="1" t="s">
        <v>32</v>
      </c>
      <c r="P9" s="1">
        <v>216.0</v>
      </c>
      <c r="Q9" s="1" t="str">
        <f>_xlfn.XLOOKUP(A9,[1]!Tabla1[CCT],[1]!Tabla1[PRECIPITACION ANUAL])</f>
        <v>#ERROR!</v>
      </c>
      <c r="S9" s="1" t="s">
        <v>33</v>
      </c>
      <c r="T9" s="1">
        <v>168912.0</v>
      </c>
      <c r="V9" s="1">
        <v>646.0</v>
      </c>
      <c r="W9" s="1">
        <v>28.0</v>
      </c>
      <c r="X9" s="1">
        <f t="shared" si="1"/>
        <v>674</v>
      </c>
    </row>
    <row r="10" hidden="1">
      <c r="A10" s="1" t="s">
        <v>79</v>
      </c>
      <c r="C10" s="1" t="s">
        <v>80</v>
      </c>
      <c r="D10" s="1" t="s">
        <v>81</v>
      </c>
      <c r="E10" s="1" t="s">
        <v>82</v>
      </c>
      <c r="F10" s="1" t="s">
        <v>30</v>
      </c>
      <c r="G10" s="1" t="s">
        <v>83</v>
      </c>
      <c r="H10" s="1">
        <v>5.527455244E9</v>
      </c>
      <c r="J10" s="1">
        <v>285.0</v>
      </c>
      <c r="K10" s="4">
        <v>45808.0</v>
      </c>
      <c r="M10" s="1">
        <v>19.660618</v>
      </c>
      <c r="N10" s="1">
        <v>-99.211317</v>
      </c>
      <c r="O10" s="1" t="s">
        <v>32</v>
      </c>
      <c r="P10" s="1">
        <v>240.0</v>
      </c>
      <c r="Q10" s="1" t="str">
        <f>_xlfn.XLOOKUP(A10,[1]!Tabla1[CCT],[1]!Tabla1[PRECIPITACION ANUAL])</f>
        <v>#ERROR!</v>
      </c>
      <c r="S10" s="1" t="s">
        <v>33</v>
      </c>
      <c r="T10" s="1">
        <v>142188.0</v>
      </c>
      <c r="V10" s="1">
        <v>285.0</v>
      </c>
      <c r="W10" s="1">
        <v>23.0</v>
      </c>
      <c r="X10" s="1">
        <f t="shared" si="1"/>
        <v>308</v>
      </c>
    </row>
    <row r="11">
      <c r="A11" s="1" t="s">
        <v>84</v>
      </c>
      <c r="B11" s="1" t="s">
        <v>35</v>
      </c>
      <c r="C11" s="1" t="s">
        <v>85</v>
      </c>
      <c r="D11" s="1" t="s">
        <v>86</v>
      </c>
      <c r="E11" s="1" t="s">
        <v>87</v>
      </c>
      <c r="F11" s="1" t="s">
        <v>30</v>
      </c>
      <c r="G11" s="1" t="s">
        <v>88</v>
      </c>
      <c r="H11" s="1">
        <v>7.221207185E9</v>
      </c>
      <c r="I11" s="5" t="s">
        <v>41</v>
      </c>
      <c r="J11" s="5">
        <v>170000.0</v>
      </c>
      <c r="K11" s="4">
        <v>45432.0</v>
      </c>
      <c r="M11" s="1">
        <v>19.16669</v>
      </c>
      <c r="N11" s="1">
        <v>-98.78189</v>
      </c>
      <c r="O11" s="1" t="s">
        <v>32</v>
      </c>
      <c r="P11" s="1">
        <v>314.0</v>
      </c>
      <c r="Q11" s="1">
        <v>971.21</v>
      </c>
      <c r="R11" s="1">
        <v>712.28</v>
      </c>
      <c r="S11" s="1" t="s">
        <v>33</v>
      </c>
      <c r="U11" s="1">
        <f>20*X11</f>
        <v>1800</v>
      </c>
      <c r="V11" s="1">
        <v>83.0</v>
      </c>
      <c r="W11" s="1">
        <v>7.0</v>
      </c>
      <c r="X11" s="1">
        <f t="shared" si="1"/>
        <v>90</v>
      </c>
      <c r="Y11" s="1">
        <v>5000.0</v>
      </c>
      <c r="Z11" s="1" t="s">
        <v>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11">
    <filterColumn colId="1">
      <filters>
        <filter val="si"/>
      </filters>
    </filterColumn>
  </autoFilter>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63"/>
    <col customWidth="1" min="6" max="6" width="19.13"/>
    <col customWidth="1" min="7" max="7" width="19.25"/>
    <col customWidth="1" min="8" max="8" width="17.13"/>
    <col customWidth="1" min="9" max="9" width="22.0"/>
  </cols>
  <sheetData>
    <row r="1" ht="75.0" customHeight="1">
      <c r="A1" s="6"/>
      <c r="B1" s="7" t="s">
        <v>90</v>
      </c>
      <c r="C1" s="8"/>
      <c r="D1" s="8"/>
      <c r="E1" s="8"/>
      <c r="F1" s="8"/>
      <c r="G1" s="8"/>
      <c r="H1" s="8"/>
      <c r="I1" s="8"/>
      <c r="J1" s="8"/>
      <c r="K1" s="8"/>
      <c r="L1" s="9"/>
      <c r="M1" s="7" t="s">
        <v>91</v>
      </c>
      <c r="N1" s="8"/>
      <c r="O1" s="8"/>
      <c r="P1" s="8"/>
      <c r="Q1" s="8"/>
      <c r="R1" s="8"/>
      <c r="S1" s="8"/>
      <c r="T1" s="8"/>
      <c r="U1" s="8"/>
      <c r="V1" s="8"/>
      <c r="W1" s="8"/>
      <c r="X1" s="8"/>
      <c r="Y1" s="8"/>
      <c r="Z1" s="9"/>
    </row>
    <row r="2">
      <c r="A2" s="10" t="s">
        <v>2</v>
      </c>
      <c r="B2" s="11" t="s">
        <v>92</v>
      </c>
      <c r="C2" s="11" t="s">
        <v>12</v>
      </c>
      <c r="D2" s="11" t="s">
        <v>13</v>
      </c>
      <c r="E2" s="11" t="s">
        <v>93</v>
      </c>
      <c r="F2" s="11" t="s">
        <v>94</v>
      </c>
      <c r="G2" s="11" t="s">
        <v>95</v>
      </c>
      <c r="H2" s="11" t="s">
        <v>96</v>
      </c>
      <c r="I2" s="11" t="s">
        <v>97</v>
      </c>
      <c r="J2" s="11" t="s">
        <v>98</v>
      </c>
      <c r="K2" s="11" t="s">
        <v>99</v>
      </c>
      <c r="L2" s="10" t="s">
        <v>100</v>
      </c>
      <c r="M2" s="11" t="s">
        <v>101</v>
      </c>
      <c r="N2" s="10" t="s">
        <v>102</v>
      </c>
      <c r="O2" s="10" t="s">
        <v>103</v>
      </c>
      <c r="P2" s="10" t="s">
        <v>104</v>
      </c>
      <c r="Q2" s="10" t="s">
        <v>105</v>
      </c>
      <c r="R2" s="11" t="s">
        <v>106</v>
      </c>
      <c r="S2" s="11" t="s">
        <v>107</v>
      </c>
      <c r="T2" s="10" t="s">
        <v>108</v>
      </c>
      <c r="U2" s="10" t="s">
        <v>109</v>
      </c>
      <c r="V2" s="10" t="s">
        <v>110</v>
      </c>
      <c r="W2" s="10" t="s">
        <v>111</v>
      </c>
      <c r="X2" s="10" t="s">
        <v>112</v>
      </c>
      <c r="Y2" s="10" t="s">
        <v>113</v>
      </c>
      <c r="Z2" s="10" t="s">
        <v>114</v>
      </c>
    </row>
    <row r="3">
      <c r="A3" s="6" t="s">
        <v>36</v>
      </c>
      <c r="B3" s="6">
        <v>1.50250002E8</v>
      </c>
      <c r="C3" s="6">
        <v>19.240753</v>
      </c>
      <c r="D3" s="6">
        <v>-98.847142</v>
      </c>
      <c r="E3" s="6" t="s">
        <v>115</v>
      </c>
      <c r="F3" s="6" t="s">
        <v>116</v>
      </c>
      <c r="G3" s="6">
        <v>2041.0</v>
      </c>
      <c r="H3" s="6">
        <v>383.0</v>
      </c>
      <c r="I3" s="6">
        <f t="shared" ref="I3:I7" si="1">H3/G3*100</f>
        <v>18.76531112</v>
      </c>
      <c r="J3" s="6">
        <v>9446.0</v>
      </c>
      <c r="K3" s="6">
        <v>2428.0</v>
      </c>
      <c r="L3" s="6">
        <v>9446.0</v>
      </c>
      <c r="M3" s="6">
        <v>3.249781</v>
      </c>
      <c r="N3" s="6">
        <v>8.253968</v>
      </c>
      <c r="O3" s="6">
        <v>28.344506</v>
      </c>
      <c r="P3" s="6">
        <v>39.70993</v>
      </c>
      <c r="Q3" s="6">
        <v>5.981848</v>
      </c>
      <c r="R3" s="6">
        <v>0.49505</v>
      </c>
      <c r="S3" s="6">
        <v>15.80033</v>
      </c>
      <c r="T3" s="6">
        <v>1.938944</v>
      </c>
      <c r="U3" s="6">
        <v>0.742574</v>
      </c>
      <c r="V3" s="6">
        <v>32.343234</v>
      </c>
      <c r="W3" s="6">
        <v>21.617162</v>
      </c>
      <c r="X3" s="6">
        <v>-0.801774</v>
      </c>
      <c r="Y3" s="6" t="s">
        <v>117</v>
      </c>
      <c r="Z3" s="6">
        <v>87397.0</v>
      </c>
    </row>
    <row r="4">
      <c r="A4" s="6" t="s">
        <v>57</v>
      </c>
      <c r="B4" s="6">
        <v>1.50250016E8</v>
      </c>
      <c r="C4" s="6">
        <v>19.227429</v>
      </c>
      <c r="D4" s="6">
        <v>-98.925892</v>
      </c>
      <c r="E4" s="6" t="s">
        <v>115</v>
      </c>
      <c r="F4" s="6" t="s">
        <v>118</v>
      </c>
      <c r="G4" s="6">
        <v>2153.0</v>
      </c>
      <c r="H4" s="6">
        <v>79.0</v>
      </c>
      <c r="I4" s="6">
        <f t="shared" si="1"/>
        <v>3.669298653</v>
      </c>
      <c r="J4" s="6">
        <v>9554.0</v>
      </c>
      <c r="K4" s="6">
        <v>2239.0</v>
      </c>
      <c r="L4" s="6">
        <v>9554.0</v>
      </c>
      <c r="M4" s="6">
        <v>3.090728</v>
      </c>
      <c r="N4" s="6">
        <v>5.785124</v>
      </c>
      <c r="O4" s="6">
        <v>27.731092</v>
      </c>
      <c r="P4" s="6">
        <v>47.03789</v>
      </c>
      <c r="Q4" s="6">
        <v>5.824373</v>
      </c>
      <c r="R4" s="6">
        <v>0.492832</v>
      </c>
      <c r="S4" s="6">
        <v>3.539427</v>
      </c>
      <c r="T4" s="6">
        <v>1.88172</v>
      </c>
      <c r="U4" s="6">
        <v>0.492832</v>
      </c>
      <c r="V4" s="6">
        <v>38.844086</v>
      </c>
      <c r="W4" s="6">
        <v>21.370968</v>
      </c>
      <c r="X4" s="6">
        <v>-0.831731</v>
      </c>
      <c r="Y4" s="6" t="s">
        <v>117</v>
      </c>
      <c r="Z4" s="6">
        <v>89359.0</v>
      </c>
    </row>
    <row r="5">
      <c r="A5" s="6" t="s">
        <v>62</v>
      </c>
      <c r="B5" s="6">
        <v>1.50090003E8</v>
      </c>
      <c r="C5" s="6">
        <v>19.092222</v>
      </c>
      <c r="D5" s="6">
        <v>-98.785</v>
      </c>
      <c r="E5" s="6" t="s">
        <v>119</v>
      </c>
      <c r="F5" s="6" t="s">
        <v>120</v>
      </c>
      <c r="G5" s="6">
        <v>770.0</v>
      </c>
      <c r="H5" s="6">
        <v>43.0</v>
      </c>
      <c r="I5" s="6">
        <f t="shared" si="1"/>
        <v>5.584415584</v>
      </c>
      <c r="J5" s="6">
        <v>3223.0</v>
      </c>
      <c r="K5" s="6">
        <v>814.0</v>
      </c>
      <c r="L5" s="6">
        <v>3223.0</v>
      </c>
      <c r="M5" s="6">
        <v>2.274607</v>
      </c>
      <c r="N5" s="6">
        <v>1.260504</v>
      </c>
      <c r="O5" s="6">
        <v>22.16708</v>
      </c>
      <c r="P5" s="6">
        <v>36.860068</v>
      </c>
      <c r="Q5" s="6">
        <v>4.797048</v>
      </c>
      <c r="R5" s="6">
        <v>1.107011</v>
      </c>
      <c r="S5" s="6">
        <v>5.289053</v>
      </c>
      <c r="T5" s="6">
        <v>6.150062</v>
      </c>
      <c r="U5" s="6">
        <v>0.738007</v>
      </c>
      <c r="V5" s="6">
        <v>37.269373</v>
      </c>
      <c r="W5" s="6">
        <v>21.03321</v>
      </c>
      <c r="X5" s="6">
        <v>-0.889318</v>
      </c>
      <c r="Y5" s="6" t="s">
        <v>121</v>
      </c>
      <c r="Z5" s="6">
        <v>93100.0</v>
      </c>
    </row>
    <row r="6">
      <c r="A6" s="6" t="s">
        <v>68</v>
      </c>
      <c r="B6" s="6">
        <v>1.5070004E8</v>
      </c>
      <c r="C6" s="6">
        <v>19.340322</v>
      </c>
      <c r="D6" s="6">
        <v>-98.946752</v>
      </c>
      <c r="E6" s="6" t="s">
        <v>122</v>
      </c>
      <c r="F6" s="6" t="s">
        <v>123</v>
      </c>
      <c r="G6" s="6">
        <v>10242.0</v>
      </c>
      <c r="H6" s="6">
        <v>423.0</v>
      </c>
      <c r="I6" s="6">
        <f t="shared" si="1"/>
        <v>4.130052724</v>
      </c>
      <c r="J6" s="6">
        <v>41887.0</v>
      </c>
      <c r="K6" s="6">
        <v>10675.0</v>
      </c>
      <c r="L6" s="6">
        <v>41887.0</v>
      </c>
      <c r="M6" s="6">
        <v>3.137919</v>
      </c>
      <c r="N6" s="6">
        <v>4.623672</v>
      </c>
      <c r="O6" s="6">
        <v>29.966472</v>
      </c>
      <c r="P6" s="6">
        <v>39.554038</v>
      </c>
      <c r="Q6" s="6">
        <v>6.243555</v>
      </c>
      <c r="R6" s="6">
        <v>0.337489</v>
      </c>
      <c r="S6" s="6">
        <v>3.965501</v>
      </c>
      <c r="T6" s="6">
        <v>0.8156</v>
      </c>
      <c r="U6" s="6">
        <v>0.187494</v>
      </c>
      <c r="V6" s="6">
        <v>31.227149</v>
      </c>
      <c r="W6" s="6">
        <v>16.63073</v>
      </c>
      <c r="X6" s="6">
        <v>-0.894287</v>
      </c>
      <c r="Y6" s="6" t="s">
        <v>121</v>
      </c>
      <c r="Z6" s="6">
        <v>93402.0</v>
      </c>
    </row>
    <row r="7">
      <c r="A7" s="6" t="s">
        <v>85</v>
      </c>
      <c r="B7" s="6">
        <v>1.51030006E8</v>
      </c>
      <c r="C7" s="6">
        <v>19.171918</v>
      </c>
      <c r="D7" s="6">
        <v>-98.779812</v>
      </c>
      <c r="E7" s="6" t="s">
        <v>124</v>
      </c>
      <c r="F7" s="6" t="s">
        <v>125</v>
      </c>
      <c r="G7" s="6">
        <v>548.0</v>
      </c>
      <c r="H7" s="6">
        <v>2.0</v>
      </c>
      <c r="I7" s="6">
        <f t="shared" si="1"/>
        <v>0.3649635036</v>
      </c>
      <c r="J7" s="6">
        <v>2314.0</v>
      </c>
      <c r="K7" s="6">
        <v>550.0</v>
      </c>
      <c r="L7" s="6">
        <v>2314.0</v>
      </c>
      <c r="M7" s="6">
        <v>1.897642</v>
      </c>
      <c r="N7" s="6">
        <v>3.680982</v>
      </c>
      <c r="O7" s="6">
        <v>21.564117</v>
      </c>
      <c r="P7" s="6">
        <v>39.585134</v>
      </c>
      <c r="Q7" s="6">
        <v>10.363636</v>
      </c>
      <c r="R7" s="6">
        <v>0.909091</v>
      </c>
      <c r="S7" s="6">
        <v>0.363636</v>
      </c>
      <c r="T7" s="6">
        <v>0.909091</v>
      </c>
      <c r="U7" s="6">
        <v>0.0</v>
      </c>
      <c r="V7" s="6">
        <v>28.181818</v>
      </c>
      <c r="W7" s="6">
        <v>17.272727</v>
      </c>
      <c r="X7" s="6">
        <v>-0.964449</v>
      </c>
      <c r="Y7" s="6" t="s">
        <v>121</v>
      </c>
      <c r="Z7" s="6">
        <v>97498.0</v>
      </c>
    </row>
  </sheetData>
  <mergeCells count="2">
    <mergeCell ref="B1:L1"/>
    <mergeCell ref="M1:Z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126</v>
      </c>
      <c r="B1" s="2" t="s">
        <v>127</v>
      </c>
    </row>
    <row r="2">
      <c r="A2" s="2" t="s">
        <v>128</v>
      </c>
      <c r="B2" s="1" t="s">
        <v>34</v>
      </c>
    </row>
    <row r="3">
      <c r="A3" s="2" t="s">
        <v>128</v>
      </c>
      <c r="B3" s="1" t="s">
        <v>56</v>
      </c>
    </row>
    <row r="4">
      <c r="A4" s="12">
        <v>46144.0</v>
      </c>
      <c r="B4" s="1" t="s">
        <v>61</v>
      </c>
    </row>
    <row r="5">
      <c r="A5" s="12">
        <v>46144.0</v>
      </c>
      <c r="B5" s="1" t="s">
        <v>84</v>
      </c>
    </row>
    <row r="6">
      <c r="A6" s="2" t="s">
        <v>129</v>
      </c>
      <c r="B6" s="2" t="s">
        <v>45</v>
      </c>
    </row>
    <row r="7">
      <c r="A7" s="2" t="s">
        <v>130</v>
      </c>
      <c r="B7" s="2" t="s">
        <v>67</v>
      </c>
    </row>
    <row r="9">
      <c r="A9" s="2" t="s">
        <v>131</v>
      </c>
    </row>
    <row r="10">
      <c r="A10" s="1" t="s">
        <v>34</v>
      </c>
      <c r="B10" s="2" t="s">
        <v>132</v>
      </c>
    </row>
    <row r="11">
      <c r="A11" s="1" t="s">
        <v>56</v>
      </c>
      <c r="B11" s="2" t="s">
        <v>132</v>
      </c>
    </row>
    <row r="13">
      <c r="A13" s="2" t="s">
        <v>133</v>
      </c>
    </row>
    <row r="14">
      <c r="C14" s="1" t="s">
        <v>34</v>
      </c>
      <c r="D14" s="1" t="s">
        <v>56</v>
      </c>
      <c r="E14" s="1" t="s">
        <v>61</v>
      </c>
      <c r="F14" s="1" t="s">
        <v>84</v>
      </c>
      <c r="G14" s="2" t="s">
        <v>45</v>
      </c>
      <c r="H14" s="2" t="s">
        <v>67</v>
      </c>
    </row>
    <row r="15">
      <c r="B15" s="2" t="s">
        <v>134</v>
      </c>
      <c r="C15" s="13" t="b">
        <v>0</v>
      </c>
      <c r="D15" s="1" t="b">
        <v>0</v>
      </c>
      <c r="E15" s="13" t="b">
        <v>0</v>
      </c>
      <c r="F15" s="13" t="b">
        <v>0</v>
      </c>
      <c r="G15" s="13" t="b">
        <v>0</v>
      </c>
      <c r="H15" s="13" t="b">
        <v>0</v>
      </c>
    </row>
    <row r="16">
      <c r="B16" s="2" t="s">
        <v>135</v>
      </c>
      <c r="C16" s="1" t="b">
        <v>0</v>
      </c>
      <c r="D16" s="1" t="b">
        <v>0</v>
      </c>
      <c r="E16" s="13" t="b">
        <v>0</v>
      </c>
      <c r="F16" s="13" t="b">
        <v>0</v>
      </c>
      <c r="G16" s="13" t="b">
        <v>0</v>
      </c>
      <c r="H16" s="13" t="b">
        <v>0</v>
      </c>
    </row>
    <row r="17">
      <c r="B17" s="2" t="s">
        <v>136</v>
      </c>
      <c r="C17" s="1" t="b">
        <v>0</v>
      </c>
      <c r="D17" s="13" t="b">
        <v>1</v>
      </c>
      <c r="E17" s="13" t="b">
        <v>0</v>
      </c>
      <c r="F17" s="13" t="b">
        <v>0</v>
      </c>
      <c r="G17" s="13" t="b">
        <v>0</v>
      </c>
      <c r="H17" s="13" t="b">
        <v>0</v>
      </c>
    </row>
    <row r="18">
      <c r="B18" s="2" t="s">
        <v>137</v>
      </c>
      <c r="C18" s="13" t="b">
        <v>1</v>
      </c>
      <c r="D18" s="1" t="b">
        <v>0</v>
      </c>
      <c r="E18" s="13" t="b">
        <v>1</v>
      </c>
      <c r="F18" s="13" t="b">
        <v>1</v>
      </c>
      <c r="G18" s="13" t="b">
        <v>1</v>
      </c>
      <c r="H18" s="13" t="b">
        <v>1</v>
      </c>
    </row>
    <row r="19">
      <c r="B19" s="2" t="s">
        <v>138</v>
      </c>
      <c r="C19" s="1" t="b">
        <v>0</v>
      </c>
      <c r="D19" s="1" t="b">
        <v>0</v>
      </c>
      <c r="E19" s="13" t="b">
        <v>0</v>
      </c>
      <c r="F19" s="13" t="b">
        <v>0</v>
      </c>
      <c r="G19" s="13" t="b">
        <v>0</v>
      </c>
      <c r="H19" s="13" t="b">
        <v>0</v>
      </c>
    </row>
    <row r="21">
      <c r="A21" s="2" t="s">
        <v>139</v>
      </c>
    </row>
    <row r="22">
      <c r="C22" s="1" t="s">
        <v>34</v>
      </c>
      <c r="D22" s="1" t="s">
        <v>56</v>
      </c>
      <c r="E22" s="1" t="s">
        <v>61</v>
      </c>
      <c r="F22" s="1" t="s">
        <v>84</v>
      </c>
      <c r="G22" s="2" t="s">
        <v>45</v>
      </c>
      <c r="H22" s="2" t="s">
        <v>67</v>
      </c>
    </row>
    <row r="23">
      <c r="B23" s="2" t="s">
        <v>140</v>
      </c>
      <c r="C23" s="13" t="b">
        <v>1</v>
      </c>
      <c r="D23" s="13" t="b">
        <v>1</v>
      </c>
      <c r="E23" s="13" t="b">
        <v>1</v>
      </c>
      <c r="F23" s="13" t="b">
        <v>1</v>
      </c>
      <c r="G23" s="13" t="b">
        <v>0</v>
      </c>
      <c r="H23" s="13" t="b">
        <v>1</v>
      </c>
    </row>
    <row r="24">
      <c r="B24" s="2" t="s">
        <v>141</v>
      </c>
      <c r="C24" s="13" t="b">
        <v>1</v>
      </c>
      <c r="D24" s="13" t="b">
        <v>1</v>
      </c>
      <c r="E24" s="13" t="b">
        <v>1</v>
      </c>
      <c r="F24" s="13" t="b">
        <v>1</v>
      </c>
      <c r="G24" s="13" t="b">
        <v>1</v>
      </c>
      <c r="H24" s="13" t="b">
        <v>0</v>
      </c>
    </row>
    <row r="25">
      <c r="B25" s="2" t="s">
        <v>142</v>
      </c>
      <c r="C25" s="13" t="b">
        <v>0</v>
      </c>
      <c r="D25" s="13" t="b">
        <v>0</v>
      </c>
      <c r="E25" s="13" t="b">
        <v>0</v>
      </c>
      <c r="F25" s="13" t="b">
        <v>0</v>
      </c>
      <c r="G25" s="13" t="b">
        <v>0</v>
      </c>
      <c r="H25" s="13" t="b">
        <v>0</v>
      </c>
    </row>
    <row r="26">
      <c r="B26" s="2" t="s">
        <v>143</v>
      </c>
      <c r="C26" s="13" t="b">
        <v>0</v>
      </c>
      <c r="D26" s="13" t="b">
        <v>0</v>
      </c>
      <c r="E26" s="13" t="b">
        <v>0</v>
      </c>
      <c r="F26" s="13" t="b">
        <v>0</v>
      </c>
      <c r="G26" s="13" t="b">
        <v>0</v>
      </c>
      <c r="H26" s="13" t="b">
        <v>0</v>
      </c>
    </row>
    <row r="27">
      <c r="B27" s="2" t="s">
        <v>144</v>
      </c>
      <c r="C27" s="13" t="b">
        <v>0</v>
      </c>
      <c r="D27" s="13" t="b">
        <v>0</v>
      </c>
      <c r="E27" s="13" t="b">
        <v>0</v>
      </c>
      <c r="F27" s="13" t="b">
        <v>0</v>
      </c>
      <c r="G27" s="13" t="b">
        <v>0</v>
      </c>
      <c r="H27" s="13" t="b">
        <v>0</v>
      </c>
    </row>
    <row r="28">
      <c r="B28" s="2" t="s">
        <v>145</v>
      </c>
      <c r="C28" s="13" t="b">
        <v>0</v>
      </c>
      <c r="D28" s="13" t="b">
        <v>0</v>
      </c>
      <c r="E28" s="13" t="b">
        <v>0</v>
      </c>
      <c r="F28" s="13" t="b">
        <v>0</v>
      </c>
      <c r="G28" s="13" t="b">
        <v>0</v>
      </c>
      <c r="H28" s="13" t="b">
        <v>0</v>
      </c>
    </row>
    <row r="30">
      <c r="A30" s="2" t="s">
        <v>146</v>
      </c>
    </row>
    <row r="31">
      <c r="C31" s="1" t="s">
        <v>34</v>
      </c>
      <c r="D31" s="1" t="s">
        <v>56</v>
      </c>
      <c r="E31" s="1" t="s">
        <v>61</v>
      </c>
      <c r="F31" s="1" t="s">
        <v>84</v>
      </c>
      <c r="G31" s="2" t="s">
        <v>45</v>
      </c>
      <c r="H31" s="2" t="s">
        <v>67</v>
      </c>
    </row>
    <row r="32">
      <c r="B32" s="2" t="s">
        <v>147</v>
      </c>
      <c r="C32" s="13" t="b">
        <v>1</v>
      </c>
      <c r="D32" s="13" t="b">
        <v>1</v>
      </c>
      <c r="E32" s="13" t="b">
        <v>1</v>
      </c>
      <c r="F32" s="13" t="b">
        <v>1</v>
      </c>
      <c r="G32" s="13" t="b">
        <v>1</v>
      </c>
      <c r="H32" s="13" t="b">
        <v>0</v>
      </c>
    </row>
    <row r="33">
      <c r="B33" s="2" t="s">
        <v>148</v>
      </c>
      <c r="C33" s="13" t="b">
        <v>0</v>
      </c>
      <c r="D33" s="13" t="b">
        <v>0</v>
      </c>
      <c r="E33" s="13" t="b">
        <v>0</v>
      </c>
      <c r="F33" s="13" t="b">
        <v>0</v>
      </c>
      <c r="G33" s="13" t="b">
        <v>0</v>
      </c>
      <c r="H33" s="13" t="b">
        <v>1</v>
      </c>
    </row>
    <row r="34">
      <c r="B34" s="2" t="s">
        <v>149</v>
      </c>
      <c r="C34" s="13" t="b">
        <v>0</v>
      </c>
      <c r="D34" s="13" t="b">
        <v>0</v>
      </c>
      <c r="E34" s="13" t="b">
        <v>0</v>
      </c>
      <c r="F34" s="13" t="b">
        <v>0</v>
      </c>
      <c r="G34" s="13" t="b">
        <v>0</v>
      </c>
      <c r="H34" s="13" t="b">
        <v>0</v>
      </c>
    </row>
    <row r="35">
      <c r="B35" s="2" t="s">
        <v>150</v>
      </c>
      <c r="C35" s="13" t="b">
        <v>0</v>
      </c>
      <c r="D35" s="13" t="b">
        <v>0</v>
      </c>
      <c r="E35" s="13" t="b">
        <v>0</v>
      </c>
      <c r="F35" s="13" t="b">
        <v>0</v>
      </c>
      <c r="G35" s="13" t="b">
        <v>0</v>
      </c>
      <c r="H35" s="13" t="b">
        <v>0</v>
      </c>
    </row>
    <row r="37">
      <c r="A37" s="2" t="s">
        <v>151</v>
      </c>
    </row>
    <row r="38">
      <c r="A38" s="13"/>
      <c r="C38" s="1" t="s">
        <v>34</v>
      </c>
      <c r="D38" s="1" t="s">
        <v>56</v>
      </c>
      <c r="E38" s="1" t="s">
        <v>61</v>
      </c>
      <c r="F38" s="1" t="s">
        <v>84</v>
      </c>
      <c r="G38" s="2" t="s">
        <v>45</v>
      </c>
      <c r="H38" s="2" t="s">
        <v>67</v>
      </c>
    </row>
    <row r="39">
      <c r="B39" s="2" t="s">
        <v>152</v>
      </c>
      <c r="C39" s="13" t="b">
        <v>1</v>
      </c>
      <c r="D39" s="13" t="b">
        <v>1</v>
      </c>
      <c r="E39" s="13" t="b">
        <v>1</v>
      </c>
      <c r="F39" s="13" t="b">
        <v>1</v>
      </c>
      <c r="G39" s="13" t="b">
        <v>1</v>
      </c>
      <c r="H39" s="13" t="b">
        <v>1</v>
      </c>
    </row>
    <row r="40">
      <c r="B40" s="2" t="s">
        <v>153</v>
      </c>
      <c r="C40" s="13" t="b">
        <v>0</v>
      </c>
      <c r="D40" s="13" t="b">
        <v>0</v>
      </c>
      <c r="E40" s="13" t="b">
        <v>0</v>
      </c>
      <c r="F40" s="13" t="b">
        <v>0</v>
      </c>
      <c r="G40" s="13" t="b">
        <v>0</v>
      </c>
      <c r="H40" s="13" t="b">
        <v>0</v>
      </c>
    </row>
    <row r="41">
      <c r="B41" s="2" t="s">
        <v>154</v>
      </c>
      <c r="C41" s="13" t="b">
        <v>0</v>
      </c>
      <c r="D41" s="13" t="b">
        <v>0</v>
      </c>
      <c r="E41" s="13" t="b">
        <v>0</v>
      </c>
      <c r="F41" s="13" t="b">
        <v>0</v>
      </c>
      <c r="G41" s="13" t="b">
        <v>0</v>
      </c>
      <c r="H41" s="13" t="b">
        <v>0</v>
      </c>
    </row>
    <row r="42">
      <c r="B42" s="2" t="s">
        <v>155</v>
      </c>
      <c r="C42" s="13" t="b">
        <v>0</v>
      </c>
      <c r="D42" s="13" t="b">
        <v>0</v>
      </c>
      <c r="E42" s="13" t="b">
        <v>0</v>
      </c>
      <c r="F42" s="13" t="b">
        <v>0</v>
      </c>
      <c r="G42" s="13" t="b">
        <v>0</v>
      </c>
      <c r="H42" s="13" t="b">
        <v>0</v>
      </c>
    </row>
    <row r="44">
      <c r="A44" s="2" t="s">
        <v>156</v>
      </c>
    </row>
    <row r="45">
      <c r="C45" s="1" t="s">
        <v>34</v>
      </c>
      <c r="D45" s="1" t="s">
        <v>56</v>
      </c>
      <c r="E45" s="1" t="s">
        <v>61</v>
      </c>
      <c r="F45" s="1" t="s">
        <v>84</v>
      </c>
      <c r="G45" s="2" t="s">
        <v>45</v>
      </c>
      <c r="H45" s="2" t="s">
        <v>67</v>
      </c>
    </row>
    <row r="46">
      <c r="B46" s="2" t="s">
        <v>154</v>
      </c>
      <c r="C46" s="13" t="b">
        <v>1</v>
      </c>
      <c r="D46" s="13" t="b">
        <v>0</v>
      </c>
      <c r="E46" s="13" t="b">
        <v>1</v>
      </c>
      <c r="F46" s="13" t="b">
        <v>0</v>
      </c>
      <c r="G46" s="13" t="b">
        <v>0</v>
      </c>
      <c r="H46" s="13" t="b">
        <v>0</v>
      </c>
    </row>
    <row r="47">
      <c r="B47" s="2" t="s">
        <v>157</v>
      </c>
      <c r="C47" s="13" t="b">
        <v>0</v>
      </c>
      <c r="D47" s="13" t="b">
        <v>0</v>
      </c>
      <c r="E47" s="13" t="b">
        <v>0</v>
      </c>
      <c r="F47" s="13" t="b">
        <v>0</v>
      </c>
      <c r="G47" s="13" t="b">
        <v>0</v>
      </c>
      <c r="H47" s="13" t="b">
        <v>0</v>
      </c>
    </row>
    <row r="48">
      <c r="B48" s="2" t="s">
        <v>158</v>
      </c>
      <c r="C48" s="13" t="b">
        <v>0</v>
      </c>
      <c r="D48" s="13" t="b">
        <v>0</v>
      </c>
      <c r="E48" s="13" t="b">
        <v>0</v>
      </c>
      <c r="F48" s="13" t="b">
        <v>0</v>
      </c>
      <c r="G48" s="13" t="b">
        <v>0</v>
      </c>
      <c r="H48" s="13" t="b">
        <v>0</v>
      </c>
    </row>
    <row r="49">
      <c r="B49" s="2" t="s">
        <v>159</v>
      </c>
      <c r="C49" s="13" t="b">
        <v>0</v>
      </c>
      <c r="D49" s="13" t="b">
        <v>1</v>
      </c>
      <c r="E49" s="13" t="b">
        <v>0</v>
      </c>
      <c r="F49" s="13" t="b">
        <v>1</v>
      </c>
      <c r="G49" s="13" t="b">
        <v>1</v>
      </c>
      <c r="H49" s="13" t="b">
        <v>1</v>
      </c>
    </row>
    <row r="50">
      <c r="B50" s="2" t="s">
        <v>160</v>
      </c>
      <c r="C50" s="13" t="b">
        <v>0</v>
      </c>
      <c r="D50" s="13" t="b">
        <v>0</v>
      </c>
      <c r="E50" s="13" t="b">
        <v>0</v>
      </c>
      <c r="F50" s="13" t="b">
        <v>0</v>
      </c>
      <c r="G50" s="13" t="b">
        <v>0</v>
      </c>
      <c r="H50" s="13" t="b">
        <v>0</v>
      </c>
    </row>
    <row r="52">
      <c r="A52" s="2" t="s">
        <v>161</v>
      </c>
    </row>
    <row r="53">
      <c r="A53" s="2" t="s">
        <v>162</v>
      </c>
    </row>
    <row r="54">
      <c r="C54" s="1" t="s">
        <v>34</v>
      </c>
      <c r="E54" s="1" t="s">
        <v>56</v>
      </c>
      <c r="G54" s="1" t="s">
        <v>61</v>
      </c>
      <c r="I54" s="1" t="s">
        <v>84</v>
      </c>
      <c r="K54" s="2" t="s">
        <v>45</v>
      </c>
      <c r="M54" s="2" t="s">
        <v>67</v>
      </c>
    </row>
    <row r="55">
      <c r="C55" s="2" t="s">
        <v>163</v>
      </c>
      <c r="D55" s="2" t="s">
        <v>144</v>
      </c>
      <c r="E55" s="2" t="s">
        <v>163</v>
      </c>
      <c r="F55" s="2" t="s">
        <v>144</v>
      </c>
      <c r="G55" s="2" t="s">
        <v>163</v>
      </c>
      <c r="H55" s="2" t="s">
        <v>144</v>
      </c>
      <c r="I55" s="2" t="s">
        <v>163</v>
      </c>
      <c r="J55" s="2" t="s">
        <v>144</v>
      </c>
      <c r="K55" s="2" t="s">
        <v>163</v>
      </c>
      <c r="L55" s="2" t="s">
        <v>144</v>
      </c>
      <c r="M55" s="2" t="s">
        <v>163</v>
      </c>
      <c r="N55" s="2" t="s">
        <v>144</v>
      </c>
    </row>
    <row r="56">
      <c r="B56" s="2" t="s">
        <v>164</v>
      </c>
      <c r="C56" s="13" t="b">
        <v>0</v>
      </c>
      <c r="D56" s="13" t="b">
        <v>1</v>
      </c>
      <c r="E56" s="13" t="b">
        <v>0</v>
      </c>
      <c r="F56" s="13" t="b">
        <v>1</v>
      </c>
      <c r="G56" s="13" t="b">
        <v>1</v>
      </c>
      <c r="H56" s="13" t="b">
        <v>0</v>
      </c>
      <c r="I56" s="13" t="b">
        <v>0</v>
      </c>
      <c r="J56" s="13" t="b">
        <v>1</v>
      </c>
      <c r="K56" s="13" t="b">
        <v>0</v>
      </c>
      <c r="L56" s="13" t="b">
        <v>1</v>
      </c>
      <c r="M56" s="13" t="b">
        <v>0</v>
      </c>
      <c r="N56" s="13" t="b">
        <v>1</v>
      </c>
    </row>
    <row r="57">
      <c r="B57" s="2" t="s">
        <v>165</v>
      </c>
      <c r="C57" s="13" t="b">
        <v>0</v>
      </c>
      <c r="D57" s="13" t="b">
        <v>1</v>
      </c>
      <c r="E57" s="13" t="b">
        <v>0</v>
      </c>
      <c r="F57" s="13" t="b">
        <v>1</v>
      </c>
      <c r="G57" s="13" t="b">
        <v>0</v>
      </c>
      <c r="H57" s="13" t="b">
        <v>1</v>
      </c>
      <c r="I57" s="13" t="b">
        <v>0</v>
      </c>
      <c r="J57" s="13" t="b">
        <v>1</v>
      </c>
      <c r="K57" s="13" t="b">
        <v>0</v>
      </c>
      <c r="L57" s="13" t="b">
        <v>1</v>
      </c>
      <c r="M57" s="13" t="b">
        <v>0</v>
      </c>
      <c r="N57" s="13" t="b">
        <v>1</v>
      </c>
    </row>
    <row r="58">
      <c r="B58" s="2" t="s">
        <v>166</v>
      </c>
      <c r="C58" s="13" t="b">
        <v>0</v>
      </c>
      <c r="D58" s="13" t="b">
        <v>1</v>
      </c>
      <c r="E58" s="13" t="b">
        <v>0</v>
      </c>
      <c r="F58" s="13" t="b">
        <v>1</v>
      </c>
      <c r="G58" s="13" t="b">
        <v>0</v>
      </c>
      <c r="H58" s="13" t="b">
        <v>1</v>
      </c>
      <c r="I58" s="13" t="b">
        <v>0</v>
      </c>
      <c r="J58" s="13" t="b">
        <v>1</v>
      </c>
      <c r="K58" s="13" t="b">
        <v>0</v>
      </c>
      <c r="L58" s="13" t="b">
        <v>1</v>
      </c>
      <c r="M58" s="13" t="b">
        <v>0</v>
      </c>
      <c r="N58" s="13" t="b">
        <v>1</v>
      </c>
    </row>
    <row r="59">
      <c r="B59" s="2" t="s">
        <v>167</v>
      </c>
      <c r="C59" s="13" t="b">
        <v>0</v>
      </c>
      <c r="D59" s="13" t="b">
        <v>1</v>
      </c>
      <c r="E59" s="13" t="b">
        <v>0</v>
      </c>
      <c r="F59" s="13" t="b">
        <v>1</v>
      </c>
      <c r="G59" s="13" t="b">
        <v>0</v>
      </c>
      <c r="H59" s="13" t="b">
        <v>1</v>
      </c>
      <c r="I59" s="13" t="b">
        <v>0</v>
      </c>
      <c r="J59" s="13" t="b">
        <v>1</v>
      </c>
      <c r="K59" s="13" t="b">
        <v>0</v>
      </c>
      <c r="L59" s="13" t="b">
        <v>1</v>
      </c>
      <c r="M59" s="13" t="b">
        <v>0</v>
      </c>
      <c r="N59" s="13" t="b">
        <v>1</v>
      </c>
    </row>
    <row r="60">
      <c r="B60" s="2" t="s">
        <v>168</v>
      </c>
      <c r="C60" s="13" t="b">
        <v>0</v>
      </c>
      <c r="D60" s="13" t="b">
        <v>1</v>
      </c>
      <c r="E60" s="13" t="b">
        <v>1</v>
      </c>
      <c r="F60" s="13" t="b">
        <v>1</v>
      </c>
      <c r="G60" s="13" t="b">
        <v>1</v>
      </c>
      <c r="H60" s="13" t="b">
        <v>0</v>
      </c>
      <c r="I60" s="13" t="b">
        <v>1</v>
      </c>
      <c r="J60" s="13" t="b">
        <v>1</v>
      </c>
      <c r="K60" s="13" t="b">
        <v>0</v>
      </c>
      <c r="L60" s="13" t="b">
        <v>1</v>
      </c>
      <c r="M60" s="13" t="b">
        <v>0</v>
      </c>
      <c r="N60" s="13" t="b">
        <v>1</v>
      </c>
    </row>
    <row r="61">
      <c r="B61" s="2" t="s">
        <v>169</v>
      </c>
      <c r="C61" s="13" t="b">
        <v>1</v>
      </c>
      <c r="D61" s="13" t="b">
        <v>0</v>
      </c>
      <c r="E61" s="13" t="b">
        <v>1</v>
      </c>
      <c r="F61" s="13" t="b">
        <v>1</v>
      </c>
      <c r="G61" s="13" t="b">
        <v>1</v>
      </c>
      <c r="H61" s="13" t="b">
        <v>0</v>
      </c>
      <c r="I61" s="13" t="b">
        <v>1</v>
      </c>
      <c r="J61" s="13" t="b">
        <v>1</v>
      </c>
      <c r="K61" s="13" t="b">
        <v>1</v>
      </c>
      <c r="L61" s="13" t="b">
        <v>0</v>
      </c>
      <c r="M61" s="13" t="b">
        <v>1</v>
      </c>
      <c r="N61" s="13" t="b">
        <v>0</v>
      </c>
    </row>
    <row r="62">
      <c r="B62" s="2" t="s">
        <v>170</v>
      </c>
      <c r="C62" s="13" t="b">
        <v>1</v>
      </c>
      <c r="D62" s="13" t="b">
        <v>0</v>
      </c>
      <c r="E62" s="13" t="b">
        <v>1</v>
      </c>
      <c r="F62" s="13" t="b">
        <v>1</v>
      </c>
      <c r="G62" s="13" t="b">
        <v>1</v>
      </c>
      <c r="H62" s="13" t="b">
        <v>0</v>
      </c>
      <c r="I62" s="13" t="b">
        <v>1</v>
      </c>
      <c r="J62" s="13" t="b">
        <v>1</v>
      </c>
      <c r="K62" s="13" t="b">
        <v>1</v>
      </c>
      <c r="L62" s="13" t="b">
        <v>0</v>
      </c>
      <c r="M62" s="13" t="b">
        <v>1</v>
      </c>
      <c r="N62" s="13" t="b">
        <v>0</v>
      </c>
    </row>
    <row r="63">
      <c r="B63" s="2" t="s">
        <v>171</v>
      </c>
      <c r="C63" s="13" t="b">
        <v>1</v>
      </c>
      <c r="D63" s="13" t="b">
        <v>0</v>
      </c>
      <c r="E63" s="13" t="b">
        <v>1</v>
      </c>
      <c r="F63" s="13" t="b">
        <v>1</v>
      </c>
      <c r="G63" s="13" t="b">
        <v>1</v>
      </c>
      <c r="H63" s="13" t="b">
        <v>0</v>
      </c>
      <c r="I63" s="13" t="b">
        <v>1</v>
      </c>
      <c r="J63" s="13" t="b">
        <v>1</v>
      </c>
      <c r="K63" s="13" t="b">
        <v>1</v>
      </c>
      <c r="L63" s="13" t="b">
        <v>0</v>
      </c>
      <c r="M63" s="13" t="b">
        <v>1</v>
      </c>
      <c r="N63" s="13" t="b">
        <v>0</v>
      </c>
    </row>
    <row r="64">
      <c r="B64" s="2" t="s">
        <v>172</v>
      </c>
      <c r="C64" s="13" t="b">
        <v>1</v>
      </c>
      <c r="D64" s="13" t="b">
        <v>0</v>
      </c>
      <c r="E64" s="13" t="b">
        <v>1</v>
      </c>
      <c r="F64" s="13" t="b">
        <v>1</v>
      </c>
      <c r="G64" s="13" t="b">
        <v>1</v>
      </c>
      <c r="H64" s="13" t="b">
        <v>0</v>
      </c>
      <c r="I64" s="13" t="b">
        <v>1</v>
      </c>
      <c r="J64" s="13" t="b">
        <v>1</v>
      </c>
      <c r="K64" s="13" t="b">
        <v>1</v>
      </c>
      <c r="L64" s="13" t="b">
        <v>0</v>
      </c>
      <c r="M64" s="13" t="b">
        <v>1</v>
      </c>
      <c r="N64" s="13" t="b">
        <v>0</v>
      </c>
    </row>
    <row r="65">
      <c r="B65" s="2" t="s">
        <v>173</v>
      </c>
      <c r="C65" s="13" t="b">
        <v>1</v>
      </c>
      <c r="D65" s="13" t="b">
        <v>0</v>
      </c>
      <c r="E65" s="13" t="b">
        <v>1</v>
      </c>
      <c r="F65" s="13" t="b">
        <v>1</v>
      </c>
      <c r="G65" s="13" t="b">
        <v>1</v>
      </c>
      <c r="H65" s="13" t="b">
        <v>0</v>
      </c>
      <c r="I65" s="13" t="b">
        <v>1</v>
      </c>
      <c r="J65" s="13" t="b">
        <v>1</v>
      </c>
      <c r="K65" s="13" t="b">
        <v>1</v>
      </c>
      <c r="L65" s="13" t="b">
        <v>0</v>
      </c>
      <c r="M65" s="13" t="b">
        <v>1</v>
      </c>
      <c r="N65" s="13" t="b">
        <v>0</v>
      </c>
    </row>
    <row r="66">
      <c r="B66" s="2" t="s">
        <v>174</v>
      </c>
      <c r="C66" s="13" t="b">
        <v>0</v>
      </c>
      <c r="D66" s="13" t="b">
        <v>1</v>
      </c>
      <c r="E66" s="13" t="b">
        <v>1</v>
      </c>
      <c r="F66" s="13" t="b">
        <v>1</v>
      </c>
      <c r="G66" s="13" t="b">
        <v>1</v>
      </c>
      <c r="H66" s="13" t="b">
        <v>0</v>
      </c>
      <c r="I66" s="13" t="b">
        <v>1</v>
      </c>
      <c r="J66" s="13" t="b">
        <v>1</v>
      </c>
      <c r="K66" s="13" t="b">
        <v>0</v>
      </c>
      <c r="L66" s="13" t="b">
        <v>1</v>
      </c>
      <c r="M66" s="13" t="b">
        <v>0</v>
      </c>
      <c r="N66" s="13" t="b">
        <v>1</v>
      </c>
    </row>
    <row r="67">
      <c r="B67" s="2" t="s">
        <v>175</v>
      </c>
      <c r="C67" s="13" t="b">
        <v>0</v>
      </c>
      <c r="D67" s="13" t="b">
        <v>1</v>
      </c>
      <c r="E67" s="13" t="b">
        <v>0</v>
      </c>
      <c r="F67" s="13" t="b">
        <v>1</v>
      </c>
      <c r="G67" s="13" t="b">
        <v>1</v>
      </c>
      <c r="H67" s="13" t="b">
        <v>0</v>
      </c>
      <c r="I67" s="13" t="b">
        <v>0</v>
      </c>
      <c r="J67" s="13" t="b">
        <v>1</v>
      </c>
      <c r="K67" s="13" t="b">
        <v>0</v>
      </c>
      <c r="L67" s="13" t="b">
        <v>1</v>
      </c>
      <c r="M67" s="13" t="b">
        <v>0</v>
      </c>
      <c r="N67" s="13" t="b">
        <v>1</v>
      </c>
    </row>
    <row r="68">
      <c r="F68" s="2" t="s">
        <v>176</v>
      </c>
    </row>
    <row r="70">
      <c r="A70" s="2" t="s">
        <v>177</v>
      </c>
    </row>
    <row r="71">
      <c r="A71" s="2"/>
      <c r="C71" s="1" t="s">
        <v>34</v>
      </c>
      <c r="D71" s="1" t="s">
        <v>56</v>
      </c>
      <c r="E71" s="1" t="s">
        <v>61</v>
      </c>
      <c r="F71" s="1" t="s">
        <v>84</v>
      </c>
      <c r="G71" s="2" t="s">
        <v>45</v>
      </c>
      <c r="H71" s="2" t="s">
        <v>67</v>
      </c>
    </row>
    <row r="72">
      <c r="B72" s="2" t="s">
        <v>178</v>
      </c>
      <c r="C72" s="13" t="b">
        <v>0</v>
      </c>
      <c r="D72" s="13" t="b">
        <v>1</v>
      </c>
      <c r="E72" s="13" t="b">
        <v>0</v>
      </c>
      <c r="F72" s="13" t="b">
        <v>0</v>
      </c>
      <c r="G72" s="13" t="b">
        <v>0</v>
      </c>
      <c r="H72" s="13" t="b">
        <v>0</v>
      </c>
    </row>
    <row r="73">
      <c r="B73" s="2" t="s">
        <v>179</v>
      </c>
      <c r="C73" s="13" t="b">
        <v>0</v>
      </c>
      <c r="D73" s="13" t="b">
        <v>0</v>
      </c>
      <c r="E73" s="13" t="b">
        <v>0</v>
      </c>
      <c r="F73" s="13" t="b">
        <v>0</v>
      </c>
      <c r="G73" s="13" t="b">
        <v>0</v>
      </c>
      <c r="H73" s="13" t="b">
        <v>0</v>
      </c>
    </row>
    <row r="74">
      <c r="B74" s="2" t="s">
        <v>180</v>
      </c>
      <c r="C74" s="13" t="b">
        <v>0</v>
      </c>
      <c r="D74" s="13" t="b">
        <v>0</v>
      </c>
      <c r="E74" s="13" t="b">
        <v>1</v>
      </c>
      <c r="F74" s="13" t="b">
        <v>1</v>
      </c>
      <c r="G74" s="13" t="b">
        <v>1</v>
      </c>
      <c r="H74" s="13" t="b">
        <v>1</v>
      </c>
    </row>
    <row r="75">
      <c r="B75" s="2" t="s">
        <v>155</v>
      </c>
      <c r="C75" s="13" t="b">
        <v>0</v>
      </c>
      <c r="D75" s="13" t="b">
        <v>0</v>
      </c>
      <c r="E75" s="13" t="b">
        <v>0</v>
      </c>
      <c r="F75" s="13" t="b">
        <v>0</v>
      </c>
      <c r="G75" s="13" t="b">
        <v>0</v>
      </c>
      <c r="H75" s="13" t="b">
        <v>0</v>
      </c>
    </row>
    <row r="77">
      <c r="A77" s="2" t="s">
        <v>181</v>
      </c>
    </row>
    <row r="78">
      <c r="C78" s="1" t="s">
        <v>34</v>
      </c>
      <c r="D78" s="1" t="s">
        <v>56</v>
      </c>
      <c r="E78" s="1" t="s">
        <v>61</v>
      </c>
      <c r="F78" s="1" t="s">
        <v>84</v>
      </c>
      <c r="G78" s="2" t="s">
        <v>45</v>
      </c>
      <c r="H78" s="2" t="s">
        <v>67</v>
      </c>
    </row>
    <row r="79">
      <c r="B79" s="2" t="s">
        <v>182</v>
      </c>
      <c r="C79" s="13" t="b">
        <v>0</v>
      </c>
      <c r="D79" s="13" t="b">
        <v>0</v>
      </c>
      <c r="E79" s="13" t="b">
        <v>0</v>
      </c>
      <c r="F79" s="13" t="b">
        <v>0</v>
      </c>
      <c r="G79" s="13" t="b">
        <v>0</v>
      </c>
      <c r="H79" s="13" t="b">
        <v>0</v>
      </c>
    </row>
    <row r="80">
      <c r="B80" s="2" t="s">
        <v>183</v>
      </c>
      <c r="C80" s="13" t="b">
        <v>0</v>
      </c>
      <c r="D80" s="13" t="b">
        <v>0</v>
      </c>
      <c r="E80" s="13" t="b">
        <v>0</v>
      </c>
      <c r="F80" s="13" t="b">
        <v>0</v>
      </c>
      <c r="G80" s="13" t="b">
        <v>0</v>
      </c>
      <c r="H80" s="13" t="b">
        <v>0</v>
      </c>
    </row>
    <row r="81">
      <c r="B81" s="2" t="s">
        <v>154</v>
      </c>
      <c r="C81" s="13" t="b">
        <v>0</v>
      </c>
      <c r="D81" s="13" t="b">
        <v>0</v>
      </c>
      <c r="E81" s="13" t="b">
        <v>1</v>
      </c>
      <c r="F81" s="13" t="b">
        <v>1</v>
      </c>
      <c r="G81" s="13" t="b">
        <v>1</v>
      </c>
      <c r="H81" s="13" t="b">
        <v>1</v>
      </c>
    </row>
    <row r="82">
      <c r="B82" s="2" t="s">
        <v>155</v>
      </c>
      <c r="C82" s="13" t="b">
        <v>0</v>
      </c>
      <c r="D82" s="13" t="b">
        <v>0</v>
      </c>
      <c r="E82" s="13" t="b">
        <v>0</v>
      </c>
      <c r="F82" s="13" t="b">
        <v>0</v>
      </c>
      <c r="G82" s="13" t="b">
        <v>0</v>
      </c>
      <c r="H82" s="13" t="b">
        <v>0</v>
      </c>
    </row>
    <row r="84">
      <c r="A84" s="2" t="s">
        <v>184</v>
      </c>
    </row>
    <row r="85">
      <c r="C85" s="1" t="s">
        <v>34</v>
      </c>
      <c r="D85" s="1" t="s">
        <v>56</v>
      </c>
      <c r="E85" s="1" t="s">
        <v>61</v>
      </c>
      <c r="F85" s="1" t="s">
        <v>84</v>
      </c>
      <c r="G85" s="2" t="s">
        <v>45</v>
      </c>
      <c r="H85" s="2" t="s">
        <v>67</v>
      </c>
    </row>
    <row r="86">
      <c r="B86" s="2" t="s">
        <v>35</v>
      </c>
      <c r="C86" s="13" t="b">
        <v>0</v>
      </c>
      <c r="D86" s="13" t="b">
        <v>0</v>
      </c>
      <c r="E86" s="13" t="b">
        <v>0</v>
      </c>
      <c r="F86" s="13" t="b">
        <v>0</v>
      </c>
      <c r="G86" s="13" t="b">
        <v>0</v>
      </c>
      <c r="H86" s="13" t="b">
        <v>0</v>
      </c>
    </row>
    <row r="87">
      <c r="B87" s="2" t="s">
        <v>154</v>
      </c>
      <c r="C87" s="13" t="b">
        <v>0</v>
      </c>
      <c r="D87" s="13" t="b">
        <v>0</v>
      </c>
      <c r="E87" s="13" t="b">
        <v>1</v>
      </c>
      <c r="F87" s="13" t="b">
        <v>1</v>
      </c>
      <c r="G87" s="13" t="b">
        <v>1</v>
      </c>
      <c r="H87" s="13" t="b">
        <v>1</v>
      </c>
    </row>
    <row r="88">
      <c r="B88" s="2" t="s">
        <v>185</v>
      </c>
      <c r="C88" s="13" t="b">
        <v>0</v>
      </c>
      <c r="D88" s="13" t="b">
        <v>0</v>
      </c>
      <c r="E88" s="13" t="b">
        <v>0</v>
      </c>
      <c r="F88" s="13" t="b">
        <v>0</v>
      </c>
      <c r="G88" s="13" t="b">
        <v>0</v>
      </c>
      <c r="H88" s="13" t="b">
        <v>0</v>
      </c>
    </row>
    <row r="89">
      <c r="B89" s="2" t="s">
        <v>155</v>
      </c>
      <c r="C89" s="13" t="b">
        <v>0</v>
      </c>
      <c r="D89" s="13" t="b">
        <v>0</v>
      </c>
      <c r="E89" s="13" t="b">
        <v>0</v>
      </c>
      <c r="F89" s="13" t="b">
        <v>0</v>
      </c>
      <c r="G89" s="13" t="b">
        <v>0</v>
      </c>
      <c r="H89" s="13" t="b">
        <v>0</v>
      </c>
    </row>
    <row r="91">
      <c r="A91" s="2" t="s">
        <v>186</v>
      </c>
    </row>
    <row r="92">
      <c r="C92" s="1" t="s">
        <v>34</v>
      </c>
      <c r="D92" s="1" t="s">
        <v>56</v>
      </c>
      <c r="E92" s="1" t="s">
        <v>61</v>
      </c>
      <c r="F92" s="1" t="s">
        <v>84</v>
      </c>
      <c r="G92" s="2" t="s">
        <v>45</v>
      </c>
      <c r="H92" s="2" t="s">
        <v>67</v>
      </c>
    </row>
    <row r="93">
      <c r="B93" s="2" t="s">
        <v>187</v>
      </c>
      <c r="C93" s="13" t="b">
        <v>0</v>
      </c>
      <c r="D93" s="13" t="b">
        <v>0</v>
      </c>
      <c r="E93" s="13" t="b">
        <v>1</v>
      </c>
      <c r="F93" s="13" t="b">
        <v>1</v>
      </c>
      <c r="G93" s="13" t="b">
        <v>1</v>
      </c>
      <c r="H93" s="13" t="b">
        <v>0</v>
      </c>
    </row>
    <row r="94">
      <c r="B94" s="2" t="s">
        <v>188</v>
      </c>
      <c r="C94" s="13" t="b">
        <v>0</v>
      </c>
      <c r="D94" s="13" t="b">
        <v>0</v>
      </c>
      <c r="E94" s="13" t="b">
        <v>1</v>
      </c>
      <c r="F94" s="13" t="b">
        <v>1</v>
      </c>
      <c r="G94" s="13" t="b">
        <v>0</v>
      </c>
      <c r="H94" s="13" t="b">
        <v>0</v>
      </c>
    </row>
    <row r="95">
      <c r="B95" s="2" t="s">
        <v>189</v>
      </c>
      <c r="C95" s="13" t="b">
        <v>0</v>
      </c>
      <c r="D95" s="13" t="b">
        <v>0</v>
      </c>
      <c r="E95" s="13" t="b">
        <v>0</v>
      </c>
      <c r="F95" s="13" t="b">
        <v>0</v>
      </c>
      <c r="G95" s="13" t="b">
        <v>0</v>
      </c>
      <c r="H95" s="13" t="b">
        <v>0</v>
      </c>
    </row>
    <row r="96">
      <c r="B96" s="2" t="s">
        <v>154</v>
      </c>
      <c r="C96" s="13" t="b">
        <v>0</v>
      </c>
      <c r="D96" s="13" t="b">
        <v>0</v>
      </c>
      <c r="E96" s="13" t="b">
        <v>0</v>
      </c>
      <c r="F96" s="13" t="b">
        <v>0</v>
      </c>
      <c r="G96" s="13" t="b">
        <v>0</v>
      </c>
      <c r="H96" s="13" t="b">
        <v>1</v>
      </c>
    </row>
    <row r="97">
      <c r="B97" s="2" t="s">
        <v>155</v>
      </c>
      <c r="C97" s="13" t="b">
        <v>0</v>
      </c>
      <c r="D97" s="13" t="b">
        <v>0</v>
      </c>
      <c r="E97" s="13" t="b">
        <v>0</v>
      </c>
      <c r="F97" s="13" t="b">
        <v>0</v>
      </c>
      <c r="G97" s="13" t="b">
        <v>0</v>
      </c>
      <c r="H97" s="13" t="b">
        <v>0</v>
      </c>
    </row>
    <row r="100">
      <c r="C100" s="1" t="s">
        <v>34</v>
      </c>
      <c r="D100" s="1" t="s">
        <v>56</v>
      </c>
      <c r="E100" s="1" t="s">
        <v>61</v>
      </c>
      <c r="F100" s="1" t="s">
        <v>84</v>
      </c>
      <c r="G100" s="2" t="s">
        <v>45</v>
      </c>
      <c r="H100" s="2" t="s">
        <v>67</v>
      </c>
    </row>
    <row r="101">
      <c r="A101" s="14" t="s">
        <v>190</v>
      </c>
      <c r="C101" s="2" t="s">
        <v>191</v>
      </c>
      <c r="D101" s="14" t="s">
        <v>192</v>
      </c>
      <c r="E101" s="15" t="s">
        <v>193</v>
      </c>
      <c r="F101" s="14" t="s">
        <v>194</v>
      </c>
      <c r="G101" s="14" t="s">
        <v>195</v>
      </c>
    </row>
  </sheetData>
  <mergeCells count="6">
    <mergeCell ref="C54:D54"/>
    <mergeCell ref="E54:F54"/>
    <mergeCell ref="G54:H54"/>
    <mergeCell ref="I54:J54"/>
    <mergeCell ref="K54:L54"/>
    <mergeCell ref="M54:N5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2026-01-19T17:08:04Z</dcterms:created>
  <dc:creator>Martín Liedo</dc:creator>
</cp:coreProperties>
</file>